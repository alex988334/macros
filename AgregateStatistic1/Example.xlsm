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O:\"/>
    </mc:Choice>
  </mc:AlternateContent>
  <xr:revisionPtr revIDLastSave="0" documentId="14_{1D2A2013-13D1-4BE7-A8C8-01A41E1107FC}" xr6:coauthVersionLast="47" xr6:coauthVersionMax="47" xr10:uidLastSave="{00000000-0000-0000-0000-000000000000}"/>
  <bookViews>
    <workbookView xWindow="4020" yWindow="1935" windowWidth="21600" windowHeight="11385" xr2:uid="{8B684DA1-3E01-4BF9-8C40-E426693F024F}"/>
  </bookViews>
  <sheets>
    <sheet name="Обобщенный_потребитель" sheetId="3" r:id="rId1"/>
    <sheet name="Узел" sheetId="2" r:id="rId2"/>
    <sheet name="Участки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6" i="1" l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</calcChain>
</file>

<file path=xl/sharedStrings.xml><?xml version="1.0" encoding="utf-8"?>
<sst xmlns="http://schemas.openxmlformats.org/spreadsheetml/2006/main" count="787" uniqueCount="111">
  <si>
    <t>Sys</t>
  </si>
  <si>
    <t>Этап</t>
  </si>
  <si>
    <t>Назначение участка</t>
  </si>
  <si>
    <t>Вид сети</t>
  </si>
  <si>
    <t>Длина участка, м</t>
  </si>
  <si>
    <t>Внутpенний диаметp подающего тpубопpовода, м</t>
  </si>
  <si>
    <t>Внутренний диаметр обратного трубопровода, м</t>
  </si>
  <si>
    <t>Внутpенний диаметp подающего тpубопpовода (ГВС), м</t>
  </si>
  <si>
    <t>Внутренний диаметр обратного трубопровода (ГВС), м</t>
  </si>
  <si>
    <t>V_Dpod_dla_kart</t>
  </si>
  <si>
    <t>Мероприятие</t>
  </si>
  <si>
    <t>2Ду</t>
  </si>
  <si>
    <t>2_Этап 1</t>
  </si>
  <si>
    <t>3_Демонтаж участка</t>
  </si>
  <si>
    <t>Распределительный</t>
  </si>
  <si>
    <t>Демонтаж</t>
  </si>
  <si>
    <t>7_Строительство ранее запроектированное</t>
  </si>
  <si>
    <t>Магистральный</t>
  </si>
  <si>
    <t>Строительство</t>
  </si>
  <si>
    <t>5_Строительство байпаса</t>
  </si>
  <si>
    <t>Строительство байпаса</t>
  </si>
  <si>
    <t>2_Строительство участка (для нового и сущ)</t>
  </si>
  <si>
    <t>2_Этап 2</t>
  </si>
  <si>
    <t>6_Демонтаж байпаса</t>
  </si>
  <si>
    <t>Демонтаж байпаса</t>
  </si>
  <si>
    <t>2_Этап 3</t>
  </si>
  <si>
    <t>Отношение к зоне КСИО</t>
  </si>
  <si>
    <t>Назначение камеры</t>
  </si>
  <si>
    <t>Наименование узла</t>
  </si>
  <si>
    <t>В зоне рассмотрения</t>
  </si>
  <si>
    <t>4_Реконструкция камеры</t>
  </si>
  <si>
    <t>к205а</t>
  </si>
  <si>
    <t>Реконструкция</t>
  </si>
  <si>
    <t>3_Демонтаж камеры</t>
  </si>
  <si>
    <t>5_Строительство ранее запроектированное</t>
  </si>
  <si>
    <t>т.А</t>
  </si>
  <si>
    <t>т.6</t>
  </si>
  <si>
    <t>т.8</t>
  </si>
  <si>
    <t>т.9</t>
  </si>
  <si>
    <t>т.7</t>
  </si>
  <si>
    <t>т.10</t>
  </si>
  <si>
    <t>2_Строительство камеры (для нового и сущ)</t>
  </si>
  <si>
    <t>т.2</t>
  </si>
  <si>
    <t>к205/6а</t>
  </si>
  <si>
    <t>Вне зоны рассмотрения</t>
  </si>
  <si>
    <t>к520</t>
  </si>
  <si>
    <t>к205/2</t>
  </si>
  <si>
    <t>к206</t>
  </si>
  <si>
    <t>к207</t>
  </si>
  <si>
    <t>т.2/6</t>
  </si>
  <si>
    <t>к207/1</t>
  </si>
  <si>
    <t>к205/6б</t>
  </si>
  <si>
    <t>к207/3</t>
  </si>
  <si>
    <t>к207/2</t>
  </si>
  <si>
    <t>Б1</t>
  </si>
  <si>
    <t>т.2/5</t>
  </si>
  <si>
    <t>т.2/1</t>
  </si>
  <si>
    <t>т.15</t>
  </si>
  <si>
    <t>т.12</t>
  </si>
  <si>
    <t>т.13</t>
  </si>
  <si>
    <t>т.14</t>
  </si>
  <si>
    <t>т.3/1</t>
  </si>
  <si>
    <t>т.19</t>
  </si>
  <si>
    <t>т.18</t>
  </si>
  <si>
    <t>т.3/2</t>
  </si>
  <si>
    <t>Мероприятия по ЦТП/ИТП</t>
  </si>
  <si>
    <t>V_KSIO</t>
  </si>
  <si>
    <t>Name</t>
  </si>
  <si>
    <t>CTP_ITP_Name</t>
  </si>
  <si>
    <t>2_Реконструкция</t>
  </si>
  <si>
    <t>02-07-0902/015</t>
  </si>
  <si>
    <t>ЦТП 02-07-0902/015</t>
  </si>
  <si>
    <t>1_Новое</t>
  </si>
  <si>
    <t>Бескудниковский_8_9</t>
  </si>
  <si>
    <t>66_К.3</t>
  </si>
  <si>
    <t>ИТП-3</t>
  </si>
  <si>
    <t>66_К.14</t>
  </si>
  <si>
    <t>ИТП-14</t>
  </si>
  <si>
    <t>4_Новое ранее запроектированное</t>
  </si>
  <si>
    <t>66_К.15,16,17</t>
  </si>
  <si>
    <t>ЦТП-15</t>
  </si>
  <si>
    <t>66_К.6</t>
  </si>
  <si>
    <t>ИТП-6</t>
  </si>
  <si>
    <t>66_К.4,5</t>
  </si>
  <si>
    <t>ЦТП-4</t>
  </si>
  <si>
    <t>66_К.28</t>
  </si>
  <si>
    <t>66_К.18,19</t>
  </si>
  <si>
    <t>ЦТП-19</t>
  </si>
  <si>
    <t>66_К.21,37</t>
  </si>
  <si>
    <t>66_К.22</t>
  </si>
  <si>
    <t>ИТП-22</t>
  </si>
  <si>
    <t>66_К.36</t>
  </si>
  <si>
    <t>ИТП-36</t>
  </si>
  <si>
    <t>66_К.27</t>
  </si>
  <si>
    <t>66_К.35</t>
  </si>
  <si>
    <t>ИТП-35</t>
  </si>
  <si>
    <t>66_К.25,26</t>
  </si>
  <si>
    <t>ЦТП-26</t>
  </si>
  <si>
    <t>66_К.23</t>
  </si>
  <si>
    <t>ИТП-23</t>
  </si>
  <si>
    <t>66_К.7,8,9,10</t>
  </si>
  <si>
    <t>ЦТП-10</t>
  </si>
  <si>
    <t>66_К.11,12</t>
  </si>
  <si>
    <t>ЦТП-11</t>
  </si>
  <si>
    <t>66_К.29</t>
  </si>
  <si>
    <t>ИТП-29</t>
  </si>
  <si>
    <t>66_К.30</t>
  </si>
  <si>
    <t>ИТП-30</t>
  </si>
  <si>
    <t>66_К.13</t>
  </si>
  <si>
    <t>ИТП-13</t>
  </si>
  <si>
    <t>66_К.34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</si>
</sst>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F5F93-C508-438D-8301-7EDD9BB904D5}">
  <dimension ref="A1:H22"/>
  <sheetViews>
    <sheetView tabSelected="1" workbookViewId="0"/>
  </sheetViews>
  <sheetFormatPr defaultRowHeight="15" x14ac:dyDescent="0.25"/>
  <sheetData>
    <row r="1" spans="1:8" x14ac:dyDescent="0.25">
      <c r="A1" t="s">
        <v>0</v>
      </c>
      <c r="B1" t="s">
        <v>65</v>
      </c>
      <c r="C1" t="s">
        <v>66</v>
      </c>
      <c r="D1" t="s">
        <v>1</v>
      </c>
      <c r="E1" t="s">
        <v>28</v>
      </c>
      <c r="F1" t="s">
        <v>67</v>
      </c>
      <c r="G1" t="s">
        <v>68</v>
      </c>
      <c r="H1" t="s">
        <v>10</v>
      </c>
    </row>
    <row r="2" spans="1:8" x14ac:dyDescent="0.25">
      <c r="A2">
        <v>394418</v>
      </c>
      <c r="B2" t="s">
        <v>69</v>
      </c>
      <c r="D2" t="s">
        <v>12</v>
      </c>
      <c r="E2" t="s">
        <v>70</v>
      </c>
      <c r="F2" t="s">
        <v>70</v>
      </c>
      <c r="G2" t="s">
        <v>71</v>
      </c>
      <c r="H2" t="s">
        <v>32</v>
      </c>
    </row>
    <row r="3" spans="1:8" x14ac:dyDescent="0.25">
      <c r="A3">
        <v>394591</v>
      </c>
      <c r="B3" t="s">
        <v>72</v>
      </c>
      <c r="C3" t="s">
        <v>73</v>
      </c>
      <c r="D3" t="s">
        <v>12</v>
      </c>
      <c r="E3" t="s">
        <v>74</v>
      </c>
      <c r="F3" t="s">
        <v>74</v>
      </c>
      <c r="G3" t="s">
        <v>75</v>
      </c>
      <c r="H3" t="s">
        <v>18</v>
      </c>
    </row>
    <row r="4" spans="1:8" x14ac:dyDescent="0.25">
      <c r="A4">
        <v>394747</v>
      </c>
      <c r="B4" t="s">
        <v>72</v>
      </c>
      <c r="C4" t="s">
        <v>73</v>
      </c>
      <c r="D4" t="s">
        <v>12</v>
      </c>
      <c r="E4" t="s">
        <v>76</v>
      </c>
      <c r="F4" t="s">
        <v>76</v>
      </c>
      <c r="G4" t="s">
        <v>77</v>
      </c>
      <c r="H4" t="s">
        <v>18</v>
      </c>
    </row>
    <row r="5" spans="1:8" x14ac:dyDescent="0.25">
      <c r="A5">
        <v>394749</v>
      </c>
      <c r="B5" t="s">
        <v>78</v>
      </c>
      <c r="C5" t="s">
        <v>73</v>
      </c>
      <c r="D5" t="s">
        <v>12</v>
      </c>
      <c r="E5" t="s">
        <v>79</v>
      </c>
      <c r="F5" t="s">
        <v>79</v>
      </c>
      <c r="G5" t="s">
        <v>80</v>
      </c>
      <c r="H5" t="s">
        <v>18</v>
      </c>
    </row>
    <row r="6" spans="1:8" x14ac:dyDescent="0.25">
      <c r="A6">
        <v>386968</v>
      </c>
      <c r="B6" t="s">
        <v>72</v>
      </c>
      <c r="C6" t="s">
        <v>73</v>
      </c>
      <c r="D6" t="s">
        <v>22</v>
      </c>
      <c r="E6" t="s">
        <v>81</v>
      </c>
      <c r="F6" t="s">
        <v>81</v>
      </c>
      <c r="G6" t="s">
        <v>82</v>
      </c>
      <c r="H6" t="s">
        <v>18</v>
      </c>
    </row>
    <row r="7" spans="1:8" x14ac:dyDescent="0.25">
      <c r="A7">
        <v>386969</v>
      </c>
      <c r="B7" t="s">
        <v>72</v>
      </c>
      <c r="C7" t="s">
        <v>73</v>
      </c>
      <c r="D7" t="s">
        <v>22</v>
      </c>
      <c r="E7" t="s">
        <v>83</v>
      </c>
      <c r="F7" t="s">
        <v>83</v>
      </c>
      <c r="G7" t="s">
        <v>84</v>
      </c>
      <c r="H7" t="s">
        <v>18</v>
      </c>
    </row>
    <row r="8" spans="1:8" x14ac:dyDescent="0.25">
      <c r="A8">
        <v>386974</v>
      </c>
      <c r="B8" t="s">
        <v>72</v>
      </c>
      <c r="C8" t="s">
        <v>73</v>
      </c>
      <c r="D8" t="s">
        <v>22</v>
      </c>
      <c r="E8" t="s">
        <v>85</v>
      </c>
      <c r="H8" t="s">
        <v>18</v>
      </c>
    </row>
    <row r="9" spans="1:8" x14ac:dyDescent="0.25">
      <c r="A9">
        <v>386950</v>
      </c>
      <c r="B9" t="s">
        <v>72</v>
      </c>
      <c r="C9" t="s">
        <v>73</v>
      </c>
      <c r="D9" t="s">
        <v>22</v>
      </c>
      <c r="E9" t="s">
        <v>86</v>
      </c>
      <c r="F9" t="s">
        <v>86</v>
      </c>
      <c r="G9" t="s">
        <v>87</v>
      </c>
      <c r="H9" t="s">
        <v>18</v>
      </c>
    </row>
    <row r="10" spans="1:8" x14ac:dyDescent="0.25">
      <c r="A10">
        <v>386952</v>
      </c>
      <c r="B10" t="s">
        <v>72</v>
      </c>
      <c r="C10" t="s">
        <v>73</v>
      </c>
      <c r="D10" t="s">
        <v>22</v>
      </c>
      <c r="E10" t="s">
        <v>88</v>
      </c>
      <c r="H10" t="s">
        <v>18</v>
      </c>
    </row>
    <row r="11" spans="1:8" x14ac:dyDescent="0.25">
      <c r="A11">
        <v>386953</v>
      </c>
      <c r="B11" t="s">
        <v>72</v>
      </c>
      <c r="C11" t="s">
        <v>73</v>
      </c>
      <c r="D11" t="s">
        <v>22</v>
      </c>
      <c r="E11" t="s">
        <v>89</v>
      </c>
      <c r="F11" t="s">
        <v>89</v>
      </c>
      <c r="G11" t="s">
        <v>90</v>
      </c>
      <c r="H11" t="s">
        <v>18</v>
      </c>
    </row>
    <row r="12" spans="1:8" x14ac:dyDescent="0.25">
      <c r="A12">
        <v>386955</v>
      </c>
      <c r="B12" t="s">
        <v>72</v>
      </c>
      <c r="C12" t="s">
        <v>73</v>
      </c>
      <c r="D12" t="s">
        <v>22</v>
      </c>
      <c r="E12" t="s">
        <v>91</v>
      </c>
      <c r="F12" t="s">
        <v>91</v>
      </c>
      <c r="G12" t="s">
        <v>92</v>
      </c>
      <c r="H12" t="s">
        <v>18</v>
      </c>
    </row>
    <row r="13" spans="1:8" x14ac:dyDescent="0.25">
      <c r="A13">
        <v>386976</v>
      </c>
      <c r="B13" t="s">
        <v>72</v>
      </c>
      <c r="C13" t="s">
        <v>73</v>
      </c>
      <c r="D13" t="s">
        <v>22</v>
      </c>
      <c r="E13" t="s">
        <v>93</v>
      </c>
      <c r="H13" t="s">
        <v>18</v>
      </c>
    </row>
    <row r="14" spans="1:8" x14ac:dyDescent="0.25">
      <c r="A14">
        <v>386978</v>
      </c>
      <c r="B14" t="s">
        <v>72</v>
      </c>
      <c r="C14" t="s">
        <v>73</v>
      </c>
      <c r="D14" t="s">
        <v>22</v>
      </c>
      <c r="E14" t="s">
        <v>94</v>
      </c>
      <c r="F14" t="s">
        <v>94</v>
      </c>
      <c r="G14" t="s">
        <v>95</v>
      </c>
      <c r="H14" t="s">
        <v>18</v>
      </c>
    </row>
    <row r="15" spans="1:8" x14ac:dyDescent="0.25">
      <c r="A15">
        <v>386981</v>
      </c>
      <c r="B15" t="s">
        <v>72</v>
      </c>
      <c r="C15" t="s">
        <v>73</v>
      </c>
      <c r="D15" t="s">
        <v>22</v>
      </c>
      <c r="E15" t="s">
        <v>96</v>
      </c>
      <c r="F15" t="s">
        <v>96</v>
      </c>
      <c r="G15" t="s">
        <v>97</v>
      </c>
      <c r="H15" t="s">
        <v>18</v>
      </c>
    </row>
    <row r="16" spans="1:8" x14ac:dyDescent="0.25">
      <c r="A16">
        <v>386984</v>
      </c>
      <c r="B16" t="s">
        <v>72</v>
      </c>
      <c r="C16" t="s">
        <v>73</v>
      </c>
      <c r="D16" t="s">
        <v>22</v>
      </c>
      <c r="E16" t="s">
        <v>98</v>
      </c>
      <c r="F16" t="s">
        <v>98</v>
      </c>
      <c r="G16" t="s">
        <v>99</v>
      </c>
      <c r="H16" t="s">
        <v>18</v>
      </c>
    </row>
    <row r="17" spans="1:8" x14ac:dyDescent="0.25">
      <c r="A17">
        <v>389346</v>
      </c>
      <c r="B17" t="s">
        <v>72</v>
      </c>
      <c r="C17" t="s">
        <v>73</v>
      </c>
      <c r="D17" t="s">
        <v>25</v>
      </c>
      <c r="E17" t="s">
        <v>100</v>
      </c>
      <c r="F17" t="s">
        <v>100</v>
      </c>
      <c r="G17" t="s">
        <v>101</v>
      </c>
      <c r="H17" t="s">
        <v>18</v>
      </c>
    </row>
    <row r="18" spans="1:8" x14ac:dyDescent="0.25">
      <c r="A18">
        <v>389347</v>
      </c>
      <c r="B18" t="s">
        <v>72</v>
      </c>
      <c r="C18" t="s">
        <v>73</v>
      </c>
      <c r="D18" t="s">
        <v>25</v>
      </c>
      <c r="E18" t="s">
        <v>102</v>
      </c>
      <c r="F18" t="s">
        <v>102</v>
      </c>
      <c r="G18" t="s">
        <v>103</v>
      </c>
      <c r="H18" t="s">
        <v>18</v>
      </c>
    </row>
    <row r="19" spans="1:8" x14ac:dyDescent="0.25">
      <c r="A19">
        <v>389349</v>
      </c>
      <c r="B19" t="s">
        <v>72</v>
      </c>
      <c r="C19" t="s">
        <v>73</v>
      </c>
      <c r="D19" t="s">
        <v>25</v>
      </c>
      <c r="E19" t="s">
        <v>104</v>
      </c>
      <c r="F19" t="s">
        <v>104</v>
      </c>
      <c r="G19" t="s">
        <v>105</v>
      </c>
      <c r="H19" t="s">
        <v>18</v>
      </c>
    </row>
    <row r="20" spans="1:8" x14ac:dyDescent="0.25">
      <c r="A20">
        <v>389351</v>
      </c>
      <c r="B20" t="s">
        <v>72</v>
      </c>
      <c r="C20" t="s">
        <v>73</v>
      </c>
      <c r="D20" t="s">
        <v>25</v>
      </c>
      <c r="E20" t="s">
        <v>106</v>
      </c>
      <c r="F20" t="s">
        <v>106</v>
      </c>
      <c r="G20" t="s">
        <v>107</v>
      </c>
      <c r="H20" t="s">
        <v>18</v>
      </c>
    </row>
    <row r="21" spans="1:8" x14ac:dyDescent="0.25">
      <c r="A21">
        <v>389353</v>
      </c>
      <c r="B21" t="s">
        <v>72</v>
      </c>
      <c r="C21" t="s">
        <v>73</v>
      </c>
      <c r="D21" t="s">
        <v>25</v>
      </c>
      <c r="E21" t="s">
        <v>108</v>
      </c>
      <c r="F21" t="s">
        <v>108</v>
      </c>
      <c r="G21" t="s">
        <v>109</v>
      </c>
      <c r="H21" t="s">
        <v>18</v>
      </c>
    </row>
    <row r="22" spans="1:8" x14ac:dyDescent="0.25">
      <c r="A22">
        <v>389362</v>
      </c>
      <c r="B22" t="s">
        <v>72</v>
      </c>
      <c r="C22" t="s">
        <v>73</v>
      </c>
      <c r="D22" t="s">
        <v>25</v>
      </c>
      <c r="E22" t="s">
        <v>110</v>
      </c>
      <c r="H22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9D15E-65BF-47DE-A786-3F90516E9423}">
  <dimension ref="A1:F34"/>
  <sheetViews>
    <sheetView workbookViewId="0"/>
  </sheetViews>
  <sheetFormatPr defaultRowHeight="15" x14ac:dyDescent="0.25"/>
  <sheetData>
    <row r="1" spans="1:6" x14ac:dyDescent="0.25">
      <c r="A1" t="s">
        <v>0</v>
      </c>
      <c r="B1" t="s">
        <v>26</v>
      </c>
      <c r="C1" t="s">
        <v>1</v>
      </c>
      <c r="D1" t="s">
        <v>27</v>
      </c>
      <c r="E1" t="s">
        <v>28</v>
      </c>
      <c r="F1" t="s">
        <v>10</v>
      </c>
    </row>
    <row r="2" spans="1:6" x14ac:dyDescent="0.25">
      <c r="A2">
        <v>394550</v>
      </c>
      <c r="B2" t="s">
        <v>29</v>
      </c>
      <c r="C2" t="s">
        <v>12</v>
      </c>
      <c r="D2" t="s">
        <v>30</v>
      </c>
      <c r="E2" t="s">
        <v>31</v>
      </c>
      <c r="F2" t="s">
        <v>32</v>
      </c>
    </row>
    <row r="3" spans="1:6" x14ac:dyDescent="0.25">
      <c r="A3">
        <v>394560</v>
      </c>
      <c r="B3" t="s">
        <v>29</v>
      </c>
      <c r="C3" t="s">
        <v>12</v>
      </c>
      <c r="D3" t="s">
        <v>33</v>
      </c>
      <c r="E3">
        <v>1</v>
      </c>
      <c r="F3" t="s">
        <v>15</v>
      </c>
    </row>
    <row r="4" spans="1:6" x14ac:dyDescent="0.25">
      <c r="A4">
        <v>394672</v>
      </c>
      <c r="B4" t="s">
        <v>29</v>
      </c>
      <c r="C4" t="s">
        <v>12</v>
      </c>
      <c r="D4" t="s">
        <v>34</v>
      </c>
      <c r="E4" t="s">
        <v>35</v>
      </c>
      <c r="F4" t="s">
        <v>18</v>
      </c>
    </row>
    <row r="5" spans="1:6" x14ac:dyDescent="0.25">
      <c r="A5">
        <v>394745</v>
      </c>
      <c r="B5" t="s">
        <v>29</v>
      </c>
      <c r="C5" t="s">
        <v>12</v>
      </c>
      <c r="D5" t="s">
        <v>34</v>
      </c>
      <c r="E5" t="s">
        <v>36</v>
      </c>
      <c r="F5" t="s">
        <v>18</v>
      </c>
    </row>
    <row r="6" spans="1:6" x14ac:dyDescent="0.25">
      <c r="A6">
        <v>394746</v>
      </c>
      <c r="B6" t="s">
        <v>29</v>
      </c>
      <c r="C6" t="s">
        <v>12</v>
      </c>
      <c r="D6" t="s">
        <v>34</v>
      </c>
      <c r="E6" t="s">
        <v>37</v>
      </c>
      <c r="F6" t="s">
        <v>18</v>
      </c>
    </row>
    <row r="7" spans="1:6" x14ac:dyDescent="0.25">
      <c r="A7">
        <v>394748</v>
      </c>
      <c r="B7" t="s">
        <v>29</v>
      </c>
      <c r="C7" t="s">
        <v>12</v>
      </c>
      <c r="D7" t="s">
        <v>34</v>
      </c>
      <c r="E7" t="s">
        <v>38</v>
      </c>
      <c r="F7" t="s">
        <v>18</v>
      </c>
    </row>
    <row r="8" spans="1:6" x14ac:dyDescent="0.25">
      <c r="A8">
        <v>394755</v>
      </c>
      <c r="B8" t="s">
        <v>29</v>
      </c>
      <c r="C8" t="s">
        <v>12</v>
      </c>
      <c r="D8" t="s">
        <v>34</v>
      </c>
      <c r="E8" t="s">
        <v>39</v>
      </c>
      <c r="F8" t="s">
        <v>18</v>
      </c>
    </row>
    <row r="9" spans="1:6" x14ac:dyDescent="0.25">
      <c r="A9">
        <v>394758</v>
      </c>
      <c r="B9" t="s">
        <v>29</v>
      </c>
      <c r="C9" t="s">
        <v>12</v>
      </c>
      <c r="D9" t="s">
        <v>34</v>
      </c>
      <c r="E9" t="s">
        <v>40</v>
      </c>
      <c r="F9" t="s">
        <v>18</v>
      </c>
    </row>
    <row r="10" spans="1:6" x14ac:dyDescent="0.25">
      <c r="A10">
        <v>386966</v>
      </c>
      <c r="B10" t="s">
        <v>29</v>
      </c>
      <c r="C10" t="s">
        <v>22</v>
      </c>
      <c r="D10" t="s">
        <v>41</v>
      </c>
      <c r="E10" t="s">
        <v>42</v>
      </c>
      <c r="F10" t="s">
        <v>18</v>
      </c>
    </row>
    <row r="11" spans="1:6" x14ac:dyDescent="0.25">
      <c r="A11">
        <v>386911</v>
      </c>
      <c r="B11" t="s">
        <v>29</v>
      </c>
      <c r="C11" t="s">
        <v>22</v>
      </c>
      <c r="D11" t="s">
        <v>33</v>
      </c>
      <c r="E11" t="s">
        <v>43</v>
      </c>
      <c r="F11" t="s">
        <v>15</v>
      </c>
    </row>
    <row r="12" spans="1:6" x14ac:dyDescent="0.25">
      <c r="A12">
        <v>386664</v>
      </c>
      <c r="B12" t="s">
        <v>44</v>
      </c>
      <c r="C12" t="s">
        <v>22</v>
      </c>
      <c r="D12" t="s">
        <v>30</v>
      </c>
      <c r="E12" t="s">
        <v>45</v>
      </c>
      <c r="F12" t="s">
        <v>32</v>
      </c>
    </row>
    <row r="13" spans="1:6" x14ac:dyDescent="0.25">
      <c r="A13">
        <v>386688</v>
      </c>
      <c r="B13" t="s">
        <v>29</v>
      </c>
      <c r="C13" t="s">
        <v>22</v>
      </c>
      <c r="D13" t="s">
        <v>30</v>
      </c>
      <c r="E13" t="s">
        <v>46</v>
      </c>
      <c r="F13" t="s">
        <v>32</v>
      </c>
    </row>
    <row r="14" spans="1:6" x14ac:dyDescent="0.25">
      <c r="A14">
        <v>386691</v>
      </c>
      <c r="B14" t="s">
        <v>29</v>
      </c>
      <c r="C14" t="s">
        <v>22</v>
      </c>
      <c r="D14" t="s">
        <v>30</v>
      </c>
      <c r="E14" t="s">
        <v>47</v>
      </c>
      <c r="F14" t="s">
        <v>32</v>
      </c>
    </row>
    <row r="15" spans="1:6" x14ac:dyDescent="0.25">
      <c r="A15">
        <v>386695</v>
      </c>
      <c r="B15" t="s">
        <v>29</v>
      </c>
      <c r="C15" t="s">
        <v>22</v>
      </c>
      <c r="D15" t="s">
        <v>30</v>
      </c>
      <c r="E15" t="s">
        <v>48</v>
      </c>
      <c r="F15" t="s">
        <v>32</v>
      </c>
    </row>
    <row r="16" spans="1:6" x14ac:dyDescent="0.25">
      <c r="A16">
        <v>386698</v>
      </c>
      <c r="B16" t="s">
        <v>29</v>
      </c>
      <c r="C16" t="s">
        <v>22</v>
      </c>
      <c r="D16" t="s">
        <v>33</v>
      </c>
      <c r="E16">
        <v>1</v>
      </c>
      <c r="F16" t="s">
        <v>15</v>
      </c>
    </row>
    <row r="17" spans="1:6" x14ac:dyDescent="0.25">
      <c r="A17">
        <v>386851</v>
      </c>
      <c r="B17" t="s">
        <v>29</v>
      </c>
      <c r="C17" t="s">
        <v>22</v>
      </c>
      <c r="D17" t="s">
        <v>41</v>
      </c>
      <c r="E17" t="s">
        <v>49</v>
      </c>
      <c r="F17" t="s">
        <v>18</v>
      </c>
    </row>
    <row r="18" spans="1:6" x14ac:dyDescent="0.25">
      <c r="A18">
        <v>386857</v>
      </c>
      <c r="B18" t="s">
        <v>29</v>
      </c>
      <c r="C18" t="s">
        <v>22</v>
      </c>
      <c r="D18" t="s">
        <v>33</v>
      </c>
      <c r="E18" t="s">
        <v>50</v>
      </c>
      <c r="F18" t="s">
        <v>15</v>
      </c>
    </row>
    <row r="19" spans="1:6" x14ac:dyDescent="0.25">
      <c r="A19">
        <v>386883</v>
      </c>
      <c r="B19" t="s">
        <v>29</v>
      </c>
      <c r="C19" t="s">
        <v>22</v>
      </c>
      <c r="D19" t="s">
        <v>30</v>
      </c>
      <c r="E19" t="s">
        <v>51</v>
      </c>
      <c r="F19" t="s">
        <v>32</v>
      </c>
    </row>
    <row r="20" spans="1:6" x14ac:dyDescent="0.25">
      <c r="A20">
        <v>386886</v>
      </c>
      <c r="B20" t="s">
        <v>29</v>
      </c>
      <c r="C20" t="s">
        <v>22</v>
      </c>
      <c r="D20" t="s">
        <v>30</v>
      </c>
      <c r="E20" t="s">
        <v>52</v>
      </c>
      <c r="F20" t="s">
        <v>32</v>
      </c>
    </row>
    <row r="21" spans="1:6" x14ac:dyDescent="0.25">
      <c r="A21">
        <v>386891</v>
      </c>
      <c r="B21" t="s">
        <v>29</v>
      </c>
      <c r="C21" t="s">
        <v>22</v>
      </c>
      <c r="D21" t="s">
        <v>33</v>
      </c>
      <c r="E21" t="s">
        <v>53</v>
      </c>
      <c r="F21" t="s">
        <v>15</v>
      </c>
    </row>
    <row r="22" spans="1:6" x14ac:dyDescent="0.25">
      <c r="A22">
        <v>386902</v>
      </c>
      <c r="B22" t="s">
        <v>29</v>
      </c>
      <c r="C22" t="s">
        <v>22</v>
      </c>
      <c r="D22" t="s">
        <v>33</v>
      </c>
      <c r="E22" t="s">
        <v>54</v>
      </c>
      <c r="F22" t="s">
        <v>15</v>
      </c>
    </row>
    <row r="23" spans="1:6" x14ac:dyDescent="0.25">
      <c r="A23">
        <v>386931</v>
      </c>
      <c r="B23" t="s">
        <v>29</v>
      </c>
      <c r="C23" t="s">
        <v>22</v>
      </c>
      <c r="D23" t="s">
        <v>41</v>
      </c>
      <c r="E23" t="s">
        <v>49</v>
      </c>
      <c r="F23" t="s">
        <v>18</v>
      </c>
    </row>
    <row r="24" spans="1:6" x14ac:dyDescent="0.25">
      <c r="A24">
        <v>386934</v>
      </c>
      <c r="B24" t="s">
        <v>29</v>
      </c>
      <c r="C24" t="s">
        <v>22</v>
      </c>
      <c r="D24" t="s">
        <v>41</v>
      </c>
      <c r="E24" t="s">
        <v>55</v>
      </c>
      <c r="F24" t="s">
        <v>18</v>
      </c>
    </row>
    <row r="25" spans="1:6" x14ac:dyDescent="0.25">
      <c r="A25">
        <v>386936</v>
      </c>
      <c r="B25" t="s">
        <v>29</v>
      </c>
      <c r="C25" t="s">
        <v>22</v>
      </c>
      <c r="D25" t="s">
        <v>41</v>
      </c>
      <c r="E25" t="s">
        <v>56</v>
      </c>
      <c r="F25" t="s">
        <v>18</v>
      </c>
    </row>
    <row r="26" spans="1:6" x14ac:dyDescent="0.25">
      <c r="A26">
        <v>386943</v>
      </c>
      <c r="B26" t="s">
        <v>29</v>
      </c>
      <c r="C26" t="s">
        <v>22</v>
      </c>
      <c r="D26" t="s">
        <v>41</v>
      </c>
      <c r="E26" t="s">
        <v>57</v>
      </c>
      <c r="F26" t="s">
        <v>18</v>
      </c>
    </row>
    <row r="27" spans="1:6" x14ac:dyDescent="0.25">
      <c r="A27">
        <v>386945</v>
      </c>
      <c r="B27" t="s">
        <v>29</v>
      </c>
      <c r="C27" t="s">
        <v>22</v>
      </c>
      <c r="D27" t="s">
        <v>41</v>
      </c>
      <c r="E27" t="s">
        <v>58</v>
      </c>
      <c r="F27" t="s">
        <v>18</v>
      </c>
    </row>
    <row r="28" spans="1:6" x14ac:dyDescent="0.25">
      <c r="A28">
        <v>386946</v>
      </c>
      <c r="B28" t="s">
        <v>29</v>
      </c>
      <c r="C28" t="s">
        <v>22</v>
      </c>
      <c r="D28" t="s">
        <v>41</v>
      </c>
      <c r="E28" t="s">
        <v>59</v>
      </c>
      <c r="F28" t="s">
        <v>18</v>
      </c>
    </row>
    <row r="29" spans="1:6" x14ac:dyDescent="0.25">
      <c r="A29">
        <v>386948</v>
      </c>
      <c r="B29" t="s">
        <v>29</v>
      </c>
      <c r="C29" t="s">
        <v>22</v>
      </c>
      <c r="D29" t="s">
        <v>41</v>
      </c>
      <c r="E29" t="s">
        <v>60</v>
      </c>
      <c r="F29" t="s">
        <v>18</v>
      </c>
    </row>
    <row r="30" spans="1:6" x14ac:dyDescent="0.25">
      <c r="A30">
        <v>389337</v>
      </c>
      <c r="B30" t="s">
        <v>29</v>
      </c>
      <c r="C30" t="s">
        <v>25</v>
      </c>
      <c r="D30" t="s">
        <v>41</v>
      </c>
      <c r="E30" t="s">
        <v>61</v>
      </c>
      <c r="F30" t="s">
        <v>18</v>
      </c>
    </row>
    <row r="31" spans="1:6" x14ac:dyDescent="0.25">
      <c r="A31">
        <v>389343</v>
      </c>
      <c r="B31" t="s">
        <v>29</v>
      </c>
      <c r="C31" t="s">
        <v>25</v>
      </c>
      <c r="D31" t="s">
        <v>41</v>
      </c>
      <c r="E31" t="s">
        <v>62</v>
      </c>
      <c r="F31" t="s">
        <v>18</v>
      </c>
    </row>
    <row r="32" spans="1:6" x14ac:dyDescent="0.25">
      <c r="A32">
        <v>389345</v>
      </c>
      <c r="B32" t="s">
        <v>29</v>
      </c>
      <c r="C32" t="s">
        <v>25</v>
      </c>
      <c r="D32" t="s">
        <v>41</v>
      </c>
      <c r="E32" t="s">
        <v>63</v>
      </c>
      <c r="F32" t="s">
        <v>18</v>
      </c>
    </row>
    <row r="33" spans="1:6" x14ac:dyDescent="0.25">
      <c r="A33">
        <v>389357</v>
      </c>
      <c r="B33" t="s">
        <v>29</v>
      </c>
      <c r="C33" t="s">
        <v>25</v>
      </c>
      <c r="D33" t="s">
        <v>41</v>
      </c>
      <c r="E33" t="s">
        <v>64</v>
      </c>
      <c r="F33" t="s">
        <v>18</v>
      </c>
    </row>
    <row r="34" spans="1:6" x14ac:dyDescent="0.25">
      <c r="A34">
        <v>389361</v>
      </c>
      <c r="B34" t="s">
        <v>29</v>
      </c>
      <c r="C34" t="s">
        <v>25</v>
      </c>
      <c r="D34" t="s">
        <v>41</v>
      </c>
      <c r="E34" t="s">
        <v>64</v>
      </c>
      <c r="F34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84D9A-255D-4719-B635-E0D07314AD5F}">
  <dimension ref="A1:L116"/>
  <sheetViews>
    <sheetView workbookViewId="0"/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>
        <v>394564</v>
      </c>
      <c r="B2" t="s">
        <v>12</v>
      </c>
      <c r="C2" t="s">
        <v>13</v>
      </c>
      <c r="D2" t="s">
        <v>14</v>
      </c>
      <c r="E2">
        <v>29.4</v>
      </c>
      <c r="F2">
        <v>8.2000000000000003E-2</v>
      </c>
      <c r="G2">
        <v>8.2000000000000003E-2</v>
      </c>
      <c r="H2">
        <v>6.5000000000000002E-2</v>
      </c>
      <c r="I2">
        <v>5.0999999999999997E-2</v>
      </c>
      <c r="J2">
        <v>80</v>
      </c>
      <c r="K2" t="s">
        <v>15</v>
      </c>
      <c r="L2" t="str">
        <f>CONCATENATE("2Ду",J2,IF(H2*1000 &lt;&gt; 0, CONCATENATE("/",H2*1000), ""), IF(I2*1000 &lt;&gt; 0, CONCATENATE("/",I2*1000), ""))</f>
        <v>2Ду80/65/51</v>
      </c>
    </row>
    <row r="3" spans="1:12" x14ac:dyDescent="0.25">
      <c r="A3">
        <v>394565</v>
      </c>
      <c r="B3" t="s">
        <v>12</v>
      </c>
      <c r="C3" t="s">
        <v>13</v>
      </c>
      <c r="D3" t="s">
        <v>14</v>
      </c>
      <c r="E3">
        <v>11.14</v>
      </c>
      <c r="F3">
        <v>0.1</v>
      </c>
      <c r="G3">
        <v>0.1</v>
      </c>
      <c r="H3">
        <v>8.2000000000000003E-2</v>
      </c>
      <c r="I3">
        <v>5.0999999999999997E-2</v>
      </c>
      <c r="J3">
        <v>100</v>
      </c>
      <c r="K3" t="s">
        <v>15</v>
      </c>
      <c r="L3" t="str">
        <f>CONCATENATE("2Ду",J3,IF(H3*1000 &lt;&gt; 0, CONCATENATE("/",H3*1000), ""), IF(I3*1000 &lt;&gt; 0, CONCATENATE("/",I3*1000), ""))</f>
        <v>2Ду100/82/51</v>
      </c>
    </row>
    <row r="4" spans="1:12" x14ac:dyDescent="0.25">
      <c r="A4">
        <v>394568</v>
      </c>
      <c r="B4" t="s">
        <v>12</v>
      </c>
      <c r="C4" t="s">
        <v>13</v>
      </c>
      <c r="D4" t="s">
        <v>14</v>
      </c>
      <c r="E4">
        <v>4.6500000000000004</v>
      </c>
      <c r="K4" t="s">
        <v>15</v>
      </c>
      <c r="L4" t="str">
        <f>CONCATENATE("2Ду",J4,IF(H4*1000 &lt;&gt; 0, CONCATENATE("/",H4*1000), ""), IF(I4*1000 &lt;&gt; 0, CONCATENATE("/",I4*1000), ""))</f>
        <v>2Ду</v>
      </c>
    </row>
    <row r="5" spans="1:12" x14ac:dyDescent="0.25">
      <c r="A5">
        <v>394569</v>
      </c>
      <c r="B5" t="s">
        <v>12</v>
      </c>
      <c r="C5" t="s">
        <v>13</v>
      </c>
      <c r="D5" t="s">
        <v>14</v>
      </c>
      <c r="E5">
        <v>10.19</v>
      </c>
      <c r="K5" t="s">
        <v>15</v>
      </c>
      <c r="L5" t="str">
        <f>CONCATENATE("2Ду",J5,IF(H5*1000 &lt;&gt; 0, CONCATENATE("/",H5*1000), ""), IF(I5*1000 &lt;&gt; 0, CONCATENATE("/",I5*1000), ""))</f>
        <v>2Ду</v>
      </c>
    </row>
    <row r="6" spans="1:12" x14ac:dyDescent="0.25">
      <c r="A6">
        <v>394570</v>
      </c>
      <c r="B6" t="s">
        <v>12</v>
      </c>
      <c r="C6" t="s">
        <v>13</v>
      </c>
      <c r="D6" t="s">
        <v>14</v>
      </c>
      <c r="E6">
        <v>28.31</v>
      </c>
      <c r="K6" t="s">
        <v>15</v>
      </c>
      <c r="L6" t="str">
        <f>CONCATENATE("2Ду",J6,IF(H6*1000 &lt;&gt; 0, CONCATENATE("/",H6*1000), ""), IF(I6*1000 &lt;&gt; 0, CONCATENATE("/",I6*1000), ""))</f>
        <v>2Ду</v>
      </c>
    </row>
    <row r="7" spans="1:12" x14ac:dyDescent="0.25">
      <c r="A7">
        <v>394571</v>
      </c>
      <c r="B7" t="s">
        <v>12</v>
      </c>
      <c r="C7" t="s">
        <v>13</v>
      </c>
      <c r="D7" t="s">
        <v>14</v>
      </c>
      <c r="E7">
        <v>18.66</v>
      </c>
      <c r="K7" t="s">
        <v>15</v>
      </c>
      <c r="L7" t="str">
        <f>CONCATENATE("2Ду",J7,IF(H7*1000 &lt;&gt; 0, CONCATENATE("/",H7*1000), ""), IF(I7*1000 &lt;&gt; 0, CONCATENATE("/",I7*1000), ""))</f>
        <v>2Ду</v>
      </c>
    </row>
    <row r="8" spans="1:12" x14ac:dyDescent="0.25">
      <c r="A8">
        <v>394584</v>
      </c>
      <c r="B8" t="s">
        <v>12</v>
      </c>
      <c r="C8" t="s">
        <v>13</v>
      </c>
      <c r="D8" t="s">
        <v>14</v>
      </c>
      <c r="E8">
        <v>31.27</v>
      </c>
      <c r="F8">
        <v>0.1</v>
      </c>
      <c r="G8">
        <v>0.1</v>
      </c>
      <c r="H8">
        <v>8.2000000000000003E-2</v>
      </c>
      <c r="I8">
        <v>6.5000000000000002E-2</v>
      </c>
      <c r="J8">
        <v>100</v>
      </c>
      <c r="K8" t="s">
        <v>15</v>
      </c>
      <c r="L8" t="str">
        <f>CONCATENATE("2Ду",J8,IF(H8*1000 &lt;&gt; 0, CONCATENATE("/",H8*1000), ""), IF(I8*1000 &lt;&gt; 0, CONCATENATE("/",I8*1000), ""))</f>
        <v>2Ду100/82/65</v>
      </c>
    </row>
    <row r="9" spans="1:12" x14ac:dyDescent="0.25">
      <c r="A9">
        <v>394586</v>
      </c>
      <c r="B9" t="s">
        <v>12</v>
      </c>
      <c r="C9" t="s">
        <v>13</v>
      </c>
      <c r="D9" t="s">
        <v>14</v>
      </c>
      <c r="E9">
        <v>9.67</v>
      </c>
      <c r="F9">
        <v>8.2000000000000003E-2</v>
      </c>
      <c r="G9">
        <v>8.2000000000000003E-2</v>
      </c>
      <c r="H9">
        <v>6.5000000000000002E-2</v>
      </c>
      <c r="I9">
        <v>5.0999999999999997E-2</v>
      </c>
      <c r="J9">
        <v>80</v>
      </c>
      <c r="K9" t="s">
        <v>15</v>
      </c>
      <c r="L9" t="str">
        <f>CONCATENATE("2Ду",J9,IF(H9*1000 &lt;&gt; 0, CONCATENATE("/",H9*1000), ""), IF(I9*1000 &lt;&gt; 0, CONCATENATE("/",I9*1000), ""))</f>
        <v>2Ду80/65/51</v>
      </c>
    </row>
    <row r="10" spans="1:12" x14ac:dyDescent="0.25">
      <c r="A10">
        <v>394587</v>
      </c>
      <c r="B10" t="s">
        <v>12</v>
      </c>
      <c r="C10" t="s">
        <v>13</v>
      </c>
      <c r="D10" t="s">
        <v>14</v>
      </c>
      <c r="E10">
        <v>25.5</v>
      </c>
      <c r="F10">
        <v>8.2000000000000003E-2</v>
      </c>
      <c r="G10">
        <v>8.2000000000000003E-2</v>
      </c>
      <c r="H10">
        <v>6.5000000000000002E-2</v>
      </c>
      <c r="I10">
        <v>5.0999999999999997E-2</v>
      </c>
      <c r="J10">
        <v>80</v>
      </c>
      <c r="K10" t="s">
        <v>15</v>
      </c>
      <c r="L10" t="str">
        <f>CONCATENATE("2Ду",J10,IF(H10*1000 &lt;&gt; 0, CONCATENATE("/",H10*1000), ""), IF(I10*1000 &lt;&gt; 0, CONCATENATE("/",I10*1000), ""))</f>
        <v>2Ду80/65/51</v>
      </c>
    </row>
    <row r="11" spans="1:12" x14ac:dyDescent="0.25">
      <c r="A11">
        <v>394608</v>
      </c>
      <c r="B11" t="s">
        <v>12</v>
      </c>
      <c r="C11" t="s">
        <v>13</v>
      </c>
      <c r="D11" t="s">
        <v>14</v>
      </c>
      <c r="E11">
        <v>55</v>
      </c>
      <c r="F11">
        <v>0.15</v>
      </c>
      <c r="G11">
        <v>0.15</v>
      </c>
      <c r="H11">
        <v>0.15</v>
      </c>
      <c r="I11">
        <v>0.125</v>
      </c>
      <c r="J11">
        <v>150</v>
      </c>
      <c r="K11" t="s">
        <v>15</v>
      </c>
      <c r="L11" t="str">
        <f>CONCATENATE("2Ду",J11,IF(H11*1000 &lt;&gt; 0, CONCATENATE("/",H11*1000), ""), IF(I11*1000 &lt;&gt; 0, CONCATENATE("/",I11*1000), ""))</f>
        <v>2Ду150/150/125</v>
      </c>
    </row>
    <row r="12" spans="1:12" x14ac:dyDescent="0.25">
      <c r="A12">
        <v>394640</v>
      </c>
      <c r="B12" t="s">
        <v>12</v>
      </c>
      <c r="C12" t="s">
        <v>13</v>
      </c>
      <c r="D12" t="s">
        <v>14</v>
      </c>
      <c r="E12">
        <v>46</v>
      </c>
      <c r="F12">
        <v>0.1</v>
      </c>
      <c r="G12">
        <v>0.1</v>
      </c>
      <c r="H12">
        <v>8.2000000000000003E-2</v>
      </c>
      <c r="I12">
        <v>5.0999999999999997E-2</v>
      </c>
      <c r="J12">
        <v>100</v>
      </c>
      <c r="K12" t="s">
        <v>15</v>
      </c>
      <c r="L12" t="str">
        <f>CONCATENATE("2Ду",J12,IF(H12*1000 &lt;&gt; 0, CONCATENATE("/",H12*1000), ""), IF(I12*1000 &lt;&gt; 0, CONCATENATE("/",I12*1000), ""))</f>
        <v>2Ду100/82/51</v>
      </c>
    </row>
    <row r="13" spans="1:12" x14ac:dyDescent="0.25">
      <c r="A13">
        <v>394644</v>
      </c>
      <c r="B13" t="s">
        <v>12</v>
      </c>
      <c r="C13" t="s">
        <v>13</v>
      </c>
      <c r="D13" t="s">
        <v>14</v>
      </c>
      <c r="E13">
        <v>36</v>
      </c>
      <c r="F13">
        <v>0.1</v>
      </c>
      <c r="G13">
        <v>0.1</v>
      </c>
      <c r="H13">
        <v>0.1</v>
      </c>
      <c r="I13">
        <v>6.5000000000000002E-2</v>
      </c>
      <c r="J13">
        <v>100</v>
      </c>
      <c r="K13" t="s">
        <v>15</v>
      </c>
      <c r="L13" t="str">
        <f>CONCATENATE("2Ду",J13,IF(H13*1000 &lt;&gt; 0, CONCATENATE("/",H13*1000), ""), IF(I13*1000 &lt;&gt; 0, CONCATENATE("/",I13*1000), ""))</f>
        <v>2Ду100/100/65</v>
      </c>
    </row>
    <row r="14" spans="1:12" x14ac:dyDescent="0.25">
      <c r="A14">
        <v>394658</v>
      </c>
      <c r="B14" t="s">
        <v>12</v>
      </c>
      <c r="C14" t="s">
        <v>13</v>
      </c>
      <c r="D14" t="s">
        <v>14</v>
      </c>
      <c r="E14">
        <v>37</v>
      </c>
      <c r="F14">
        <v>0.15</v>
      </c>
      <c r="G14">
        <v>0.15</v>
      </c>
      <c r="H14">
        <v>0.15</v>
      </c>
      <c r="I14">
        <v>0.125</v>
      </c>
      <c r="J14">
        <v>150</v>
      </c>
      <c r="K14" t="s">
        <v>15</v>
      </c>
      <c r="L14" t="str">
        <f>CONCATENATE("2Ду",J14,IF(H14*1000 &lt;&gt; 0, CONCATENATE("/",H14*1000), ""), IF(I14*1000 &lt;&gt; 0, CONCATENATE("/",I14*1000), ""))</f>
        <v>2Ду150/150/125</v>
      </c>
    </row>
    <row r="15" spans="1:12" x14ac:dyDescent="0.25">
      <c r="A15">
        <v>394666</v>
      </c>
      <c r="B15" t="s">
        <v>12</v>
      </c>
      <c r="C15" t="s">
        <v>13</v>
      </c>
      <c r="D15" t="s">
        <v>14</v>
      </c>
      <c r="E15">
        <v>11.91</v>
      </c>
      <c r="F15">
        <v>0.15</v>
      </c>
      <c r="G15">
        <v>0.15</v>
      </c>
      <c r="H15">
        <v>0.125</v>
      </c>
      <c r="I15">
        <v>0.1</v>
      </c>
      <c r="J15">
        <v>150</v>
      </c>
      <c r="K15" t="s">
        <v>15</v>
      </c>
      <c r="L15" t="str">
        <f>CONCATENATE("2Ду",J15,IF(H15*1000 &lt;&gt; 0, CONCATENATE("/",H15*1000), ""), IF(I15*1000 &lt;&gt; 0, CONCATENATE("/",I15*1000), ""))</f>
        <v>2Ду150/125/100</v>
      </c>
    </row>
    <row r="16" spans="1:12" x14ac:dyDescent="0.25">
      <c r="A16">
        <v>394667</v>
      </c>
      <c r="B16" t="s">
        <v>12</v>
      </c>
      <c r="C16" t="s">
        <v>13</v>
      </c>
      <c r="D16" t="s">
        <v>14</v>
      </c>
      <c r="F16">
        <v>0.1</v>
      </c>
      <c r="G16">
        <v>0.1</v>
      </c>
      <c r="H16">
        <v>0.1</v>
      </c>
      <c r="I16">
        <v>8.2000000000000003E-2</v>
      </c>
      <c r="J16">
        <v>100</v>
      </c>
      <c r="K16" t="s">
        <v>15</v>
      </c>
      <c r="L16" t="str">
        <f>CONCATENATE("2Ду",J16,IF(H16*1000 &lt;&gt; 0, CONCATENATE("/",H16*1000), ""), IF(I16*1000 &lt;&gt; 0, CONCATENATE("/",I16*1000), ""))</f>
        <v>2Ду100/100/82</v>
      </c>
    </row>
    <row r="17" spans="1:12" x14ac:dyDescent="0.25">
      <c r="A17">
        <v>394670</v>
      </c>
      <c r="B17" t="s">
        <v>12</v>
      </c>
      <c r="C17" t="s">
        <v>13</v>
      </c>
      <c r="D17" t="s">
        <v>14</v>
      </c>
      <c r="E17">
        <v>17.32</v>
      </c>
      <c r="F17">
        <v>0.1</v>
      </c>
      <c r="G17">
        <v>0.1</v>
      </c>
      <c r="H17">
        <v>0.1</v>
      </c>
      <c r="I17">
        <v>6.5000000000000002E-2</v>
      </c>
      <c r="J17">
        <v>100</v>
      </c>
      <c r="K17" t="s">
        <v>15</v>
      </c>
      <c r="L17" t="str">
        <f>CONCATENATE("2Ду",J17,IF(H17*1000 &lt;&gt; 0, CONCATENATE("/",H17*1000), ""), IF(I17*1000 &lt;&gt; 0, CONCATENATE("/",I17*1000), ""))</f>
        <v>2Ду100/100/65</v>
      </c>
    </row>
    <row r="18" spans="1:12" x14ac:dyDescent="0.25">
      <c r="A18">
        <v>394674</v>
      </c>
      <c r="B18" t="s">
        <v>12</v>
      </c>
      <c r="C18" t="s">
        <v>16</v>
      </c>
      <c r="D18" t="s">
        <v>17</v>
      </c>
      <c r="E18">
        <v>100</v>
      </c>
      <c r="F18">
        <v>0.125</v>
      </c>
      <c r="G18">
        <v>0.125</v>
      </c>
      <c r="J18">
        <v>125</v>
      </c>
      <c r="K18" t="s">
        <v>18</v>
      </c>
      <c r="L18" t="str">
        <f>CONCATENATE("2Ду",J18,IF(H18*1000 &lt;&gt; 0, CONCATENATE("/",H18*1000), ""), IF(I18*1000 &lt;&gt; 0, CONCATENATE("/",I18*1000), ""))</f>
        <v>2Ду125</v>
      </c>
    </row>
    <row r="19" spans="1:12" x14ac:dyDescent="0.25">
      <c r="A19">
        <v>394692</v>
      </c>
      <c r="B19" t="s">
        <v>12</v>
      </c>
      <c r="C19" t="s">
        <v>13</v>
      </c>
      <c r="D19" t="s">
        <v>14</v>
      </c>
      <c r="E19">
        <v>8.23</v>
      </c>
      <c r="F19">
        <v>0.1</v>
      </c>
      <c r="G19">
        <v>0.1</v>
      </c>
      <c r="H19">
        <v>0.1</v>
      </c>
      <c r="I19">
        <v>0.1</v>
      </c>
      <c r="J19">
        <v>100</v>
      </c>
      <c r="K19" t="s">
        <v>15</v>
      </c>
      <c r="L19" t="str">
        <f>CONCATENATE("2Ду",J19,IF(H19*1000 &lt;&gt; 0, CONCATENATE("/",H19*1000), ""), IF(I19*1000 &lt;&gt; 0, CONCATENATE("/",I19*1000), ""))</f>
        <v>2Ду100/100/100</v>
      </c>
    </row>
    <row r="20" spans="1:12" x14ac:dyDescent="0.25">
      <c r="A20">
        <v>394693</v>
      </c>
      <c r="B20" t="s">
        <v>12</v>
      </c>
      <c r="C20" t="s">
        <v>13</v>
      </c>
      <c r="D20" t="s">
        <v>14</v>
      </c>
      <c r="E20">
        <v>85.1</v>
      </c>
      <c r="F20">
        <v>0.1</v>
      </c>
      <c r="G20">
        <v>0.1</v>
      </c>
      <c r="H20">
        <v>0.1</v>
      </c>
      <c r="I20">
        <v>0.1</v>
      </c>
      <c r="J20">
        <v>100</v>
      </c>
      <c r="K20" t="s">
        <v>15</v>
      </c>
      <c r="L20" t="str">
        <f>CONCATENATE("2Ду",J20,IF(H20*1000 &lt;&gt; 0, CONCATENATE("/",H20*1000), ""), IF(I20*1000 &lt;&gt; 0, CONCATENATE("/",I20*1000), ""))</f>
        <v>2Ду100/100/100</v>
      </c>
    </row>
    <row r="21" spans="1:12" x14ac:dyDescent="0.25">
      <c r="A21">
        <v>394720</v>
      </c>
      <c r="B21" t="s">
        <v>12</v>
      </c>
      <c r="C21" t="s">
        <v>13</v>
      </c>
      <c r="D21" t="s">
        <v>14</v>
      </c>
      <c r="E21">
        <v>58</v>
      </c>
      <c r="F21">
        <v>0.1</v>
      </c>
      <c r="G21">
        <v>0.1</v>
      </c>
      <c r="H21">
        <v>0.1</v>
      </c>
      <c r="I21">
        <v>0.1</v>
      </c>
      <c r="J21">
        <v>100</v>
      </c>
      <c r="K21" t="s">
        <v>15</v>
      </c>
      <c r="L21" t="str">
        <f>CONCATENATE("2Ду",J21,IF(H21*1000 &lt;&gt; 0, CONCATENATE("/",H21*1000), ""), IF(I21*1000 &lt;&gt; 0, CONCATENATE("/",I21*1000), ""))</f>
        <v>2Ду100/100/100</v>
      </c>
    </row>
    <row r="22" spans="1:12" x14ac:dyDescent="0.25">
      <c r="A22">
        <v>394722</v>
      </c>
      <c r="B22" t="s">
        <v>12</v>
      </c>
      <c r="C22" t="s">
        <v>13</v>
      </c>
      <c r="D22" t="s">
        <v>14</v>
      </c>
      <c r="E22">
        <v>46</v>
      </c>
      <c r="F22">
        <v>8.2000000000000003E-2</v>
      </c>
      <c r="G22">
        <v>8.2000000000000003E-2</v>
      </c>
      <c r="H22">
        <v>6.5000000000000002E-2</v>
      </c>
      <c r="I22">
        <v>5.0999999999999997E-2</v>
      </c>
      <c r="J22">
        <v>80</v>
      </c>
      <c r="K22" t="s">
        <v>15</v>
      </c>
      <c r="L22" t="str">
        <f>CONCATENATE("2Ду",J22,IF(H22*1000 &lt;&gt; 0, CONCATENATE("/",H22*1000), ""), IF(I22*1000 &lt;&gt; 0, CONCATENATE("/",I22*1000), ""))</f>
        <v>2Ду80/65/51</v>
      </c>
    </row>
    <row r="23" spans="1:12" x14ac:dyDescent="0.25">
      <c r="A23">
        <v>394725</v>
      </c>
      <c r="B23" t="s">
        <v>12</v>
      </c>
      <c r="C23" t="s">
        <v>13</v>
      </c>
      <c r="D23" t="s">
        <v>14</v>
      </c>
      <c r="E23">
        <v>14</v>
      </c>
      <c r="F23">
        <v>8.2000000000000003E-2</v>
      </c>
      <c r="G23">
        <v>8.2000000000000003E-2</v>
      </c>
      <c r="H23">
        <v>6.5000000000000002E-2</v>
      </c>
      <c r="I23">
        <v>5.0999999999999997E-2</v>
      </c>
      <c r="J23">
        <v>80</v>
      </c>
      <c r="K23" t="s">
        <v>15</v>
      </c>
      <c r="L23" t="str">
        <f>CONCATENATE("2Ду",J23,IF(H23*1000 &lt;&gt; 0, CONCATENATE("/",H23*1000), ""), IF(I23*1000 &lt;&gt; 0, CONCATENATE("/",I23*1000), ""))</f>
        <v>2Ду80/65/51</v>
      </c>
    </row>
    <row r="24" spans="1:12" x14ac:dyDescent="0.25">
      <c r="A24">
        <v>394736</v>
      </c>
      <c r="B24" t="s">
        <v>12</v>
      </c>
      <c r="C24" t="s">
        <v>13</v>
      </c>
      <c r="D24" t="s">
        <v>14</v>
      </c>
      <c r="E24">
        <v>38</v>
      </c>
      <c r="F24">
        <v>0.20699999999999999</v>
      </c>
      <c r="G24">
        <v>0.20699999999999999</v>
      </c>
      <c r="H24">
        <v>0.15</v>
      </c>
      <c r="I24">
        <v>0.1</v>
      </c>
      <c r="J24">
        <v>200</v>
      </c>
      <c r="K24" t="s">
        <v>15</v>
      </c>
      <c r="L24" t="str">
        <f>CONCATENATE("2Ду",J24,IF(H24*1000 &lt;&gt; 0, CONCATENATE("/",H24*1000), ""), IF(I24*1000 &lt;&gt; 0, CONCATENATE("/",I24*1000), ""))</f>
        <v>2Ду200/150/100</v>
      </c>
    </row>
    <row r="25" spans="1:12" x14ac:dyDescent="0.25">
      <c r="A25">
        <v>394737</v>
      </c>
      <c r="B25" t="s">
        <v>12</v>
      </c>
      <c r="C25" t="s">
        <v>13</v>
      </c>
      <c r="D25" t="s">
        <v>14</v>
      </c>
      <c r="E25">
        <v>16</v>
      </c>
      <c r="F25">
        <v>0.20699999999999999</v>
      </c>
      <c r="G25">
        <v>0.20699999999999999</v>
      </c>
      <c r="H25">
        <v>0.15</v>
      </c>
      <c r="I25">
        <v>0.1</v>
      </c>
      <c r="J25">
        <v>200</v>
      </c>
      <c r="K25" t="s">
        <v>15</v>
      </c>
      <c r="L25" t="str">
        <f>CONCATENATE("2Ду",J25,IF(H25*1000 &lt;&gt; 0, CONCATENATE("/",H25*1000), ""), IF(I25*1000 &lt;&gt; 0, CONCATENATE("/",I25*1000), ""))</f>
        <v>2Ду200/150/100</v>
      </c>
    </row>
    <row r="26" spans="1:12" x14ac:dyDescent="0.25">
      <c r="A26">
        <v>394742</v>
      </c>
      <c r="B26" t="s">
        <v>12</v>
      </c>
      <c r="C26" t="s">
        <v>19</v>
      </c>
      <c r="D26" t="s">
        <v>14</v>
      </c>
      <c r="E26">
        <v>420</v>
      </c>
      <c r="F26">
        <v>8.2000000000000003E-2</v>
      </c>
      <c r="G26">
        <v>8.2000000000000003E-2</v>
      </c>
      <c r="H26">
        <v>6.5000000000000002E-2</v>
      </c>
      <c r="I26">
        <v>5.0999999999999997E-2</v>
      </c>
      <c r="J26">
        <v>80</v>
      </c>
      <c r="K26" t="s">
        <v>20</v>
      </c>
      <c r="L26" t="str">
        <f>CONCATENATE("2Ду",J26,IF(H26*1000 &lt;&gt; 0, CONCATENATE("/",H26*1000), ""), IF(I26*1000 &lt;&gt; 0, CONCATENATE("/",I26*1000), ""))</f>
        <v>2Ду80/65/51</v>
      </c>
    </row>
    <row r="27" spans="1:12" x14ac:dyDescent="0.25">
      <c r="A27">
        <v>394479</v>
      </c>
      <c r="B27" t="s">
        <v>12</v>
      </c>
      <c r="C27" t="s">
        <v>13</v>
      </c>
      <c r="D27" t="s">
        <v>14</v>
      </c>
      <c r="E27">
        <v>45</v>
      </c>
      <c r="F27">
        <v>0.1</v>
      </c>
      <c r="G27">
        <v>0.1</v>
      </c>
      <c r="H27">
        <v>0.1</v>
      </c>
      <c r="I27">
        <v>8.2000000000000003E-2</v>
      </c>
      <c r="J27">
        <v>100</v>
      </c>
      <c r="K27" t="s">
        <v>15</v>
      </c>
      <c r="L27" t="str">
        <f>CONCATENATE("2Ду",J27,IF(H27*1000 &lt;&gt; 0, CONCATENATE("/",H27*1000), ""), IF(I27*1000 &lt;&gt; 0, CONCATENATE("/",I27*1000), ""))</f>
        <v>2Ду100/100/82</v>
      </c>
    </row>
    <row r="28" spans="1:12" x14ac:dyDescent="0.25">
      <c r="A28">
        <v>394480</v>
      </c>
      <c r="B28" t="s">
        <v>12</v>
      </c>
      <c r="C28" t="s">
        <v>13</v>
      </c>
      <c r="D28" t="s">
        <v>14</v>
      </c>
      <c r="E28">
        <v>44</v>
      </c>
      <c r="F28">
        <v>0.125</v>
      </c>
      <c r="G28">
        <v>0.125</v>
      </c>
      <c r="H28">
        <v>0.1</v>
      </c>
      <c r="I28">
        <v>8.2000000000000003E-2</v>
      </c>
      <c r="J28">
        <v>125</v>
      </c>
      <c r="K28" t="s">
        <v>15</v>
      </c>
      <c r="L28" t="str">
        <f>CONCATENATE("2Ду",J28,IF(H28*1000 &lt;&gt; 0, CONCATENATE("/",H28*1000), ""), IF(I28*1000 &lt;&gt; 0, CONCATENATE("/",I28*1000), ""))</f>
        <v>2Ду125/100/82</v>
      </c>
    </row>
    <row r="29" spans="1:12" x14ac:dyDescent="0.25">
      <c r="A29">
        <v>394485</v>
      </c>
      <c r="B29" t="s">
        <v>12</v>
      </c>
      <c r="C29" t="s">
        <v>13</v>
      </c>
      <c r="D29" t="s">
        <v>14</v>
      </c>
      <c r="E29">
        <v>26.49</v>
      </c>
      <c r="F29">
        <v>0.125</v>
      </c>
      <c r="G29">
        <v>0.125</v>
      </c>
      <c r="H29">
        <v>0.125</v>
      </c>
      <c r="I29">
        <v>0.1</v>
      </c>
      <c r="J29">
        <v>125</v>
      </c>
      <c r="K29" t="s">
        <v>15</v>
      </c>
      <c r="L29" t="str">
        <f>CONCATENATE("2Ду",J29,IF(H29*1000 &lt;&gt; 0, CONCATENATE("/",H29*1000), ""), IF(I29*1000 &lt;&gt; 0, CONCATENATE("/",I29*1000), ""))</f>
        <v>2Ду125/125/100</v>
      </c>
    </row>
    <row r="30" spans="1:12" x14ac:dyDescent="0.25">
      <c r="A30">
        <v>394750</v>
      </c>
      <c r="B30" t="s">
        <v>12</v>
      </c>
      <c r="C30" t="s">
        <v>16</v>
      </c>
      <c r="D30" t="s">
        <v>17</v>
      </c>
      <c r="E30">
        <v>205.3</v>
      </c>
      <c r="F30">
        <v>0.309</v>
      </c>
      <c r="G30">
        <v>0.309</v>
      </c>
      <c r="J30">
        <v>300</v>
      </c>
      <c r="K30" t="s">
        <v>18</v>
      </c>
      <c r="L30" t="str">
        <f>CONCATENATE("2Ду",J30,IF(H30*1000 &lt;&gt; 0, CONCATENATE("/",H30*1000), ""), IF(I30*1000 &lt;&gt; 0, CONCATENATE("/",I30*1000), ""))</f>
        <v>2Ду300</v>
      </c>
    </row>
    <row r="31" spans="1:12" x14ac:dyDescent="0.25">
      <c r="A31">
        <v>394751</v>
      </c>
      <c r="B31" t="s">
        <v>12</v>
      </c>
      <c r="C31" t="s">
        <v>16</v>
      </c>
      <c r="D31" t="s">
        <v>17</v>
      </c>
      <c r="E31">
        <v>127.02</v>
      </c>
      <c r="F31">
        <v>0.309</v>
      </c>
      <c r="G31">
        <v>0.309</v>
      </c>
      <c r="J31">
        <v>300</v>
      </c>
      <c r="K31" t="s">
        <v>18</v>
      </c>
      <c r="L31" t="str">
        <f>CONCATENATE("2Ду",J31,IF(H31*1000 &lt;&gt; 0, CONCATENATE("/",H31*1000), ""), IF(I31*1000 &lt;&gt; 0, CONCATENATE("/",I31*1000), ""))</f>
        <v>2Ду300</v>
      </c>
    </row>
    <row r="32" spans="1:12" x14ac:dyDescent="0.25">
      <c r="A32">
        <v>394753</v>
      </c>
      <c r="B32" t="s">
        <v>12</v>
      </c>
      <c r="C32" t="s">
        <v>21</v>
      </c>
      <c r="D32" t="s">
        <v>17</v>
      </c>
      <c r="E32">
        <v>30</v>
      </c>
      <c r="F32">
        <v>0.125</v>
      </c>
      <c r="G32">
        <v>0.125</v>
      </c>
      <c r="J32">
        <v>125</v>
      </c>
      <c r="K32" t="s">
        <v>18</v>
      </c>
      <c r="L32" t="str">
        <f>CONCATENATE("2Ду",J32,IF(H32*1000 &lt;&gt; 0, CONCATENATE("/",H32*1000), ""), IF(I32*1000 &lt;&gt; 0, CONCATENATE("/",I32*1000), ""))</f>
        <v>2Ду125</v>
      </c>
    </row>
    <row r="33" spans="1:12" x14ac:dyDescent="0.25">
      <c r="A33">
        <v>394754</v>
      </c>
      <c r="B33" t="s">
        <v>12</v>
      </c>
      <c r="C33" t="s">
        <v>16</v>
      </c>
      <c r="D33" t="s">
        <v>17</v>
      </c>
      <c r="E33">
        <v>14.58</v>
      </c>
      <c r="F33">
        <v>0.309</v>
      </c>
      <c r="G33">
        <v>0.309</v>
      </c>
      <c r="J33">
        <v>300</v>
      </c>
      <c r="K33" t="s">
        <v>18</v>
      </c>
      <c r="L33" t="str">
        <f>CONCATENATE("2Ду",J33,IF(H33*1000 &lt;&gt; 0, CONCATENATE("/",H33*1000), ""), IF(I33*1000 &lt;&gt; 0, CONCATENATE("/",I33*1000), ""))</f>
        <v>2Ду300</v>
      </c>
    </row>
    <row r="34" spans="1:12" x14ac:dyDescent="0.25">
      <c r="A34">
        <v>394756</v>
      </c>
      <c r="B34" t="s">
        <v>12</v>
      </c>
      <c r="C34" t="s">
        <v>16</v>
      </c>
      <c r="D34" t="s">
        <v>17</v>
      </c>
      <c r="E34">
        <v>5.94</v>
      </c>
      <c r="F34">
        <v>0.20699999999999999</v>
      </c>
      <c r="G34">
        <v>0.20699999999999999</v>
      </c>
      <c r="J34">
        <v>200</v>
      </c>
      <c r="K34" t="s">
        <v>18</v>
      </c>
      <c r="L34" t="str">
        <f>CONCATENATE("2Ду",J34,IF(H34*1000 &lt;&gt; 0, CONCATENATE("/",H34*1000), ""), IF(I34*1000 &lt;&gt; 0, CONCATENATE("/",I34*1000), ""))</f>
        <v>2Ду200</v>
      </c>
    </row>
    <row r="35" spans="1:12" x14ac:dyDescent="0.25">
      <c r="A35">
        <v>394757</v>
      </c>
      <c r="B35" t="s">
        <v>12</v>
      </c>
      <c r="C35" t="s">
        <v>16</v>
      </c>
      <c r="D35" t="s">
        <v>17</v>
      </c>
      <c r="E35">
        <v>4.5599999999999996</v>
      </c>
      <c r="F35">
        <v>0.20699999999999999</v>
      </c>
      <c r="G35">
        <v>0.20699999999999999</v>
      </c>
      <c r="J35">
        <v>200</v>
      </c>
      <c r="K35" t="s">
        <v>18</v>
      </c>
      <c r="L35" t="str">
        <f>CONCATENATE("2Ду",J35,IF(H35*1000 &lt;&gt; 0, CONCATENATE("/",H35*1000), ""), IF(I35*1000 &lt;&gt; 0, CONCATENATE("/",I35*1000), ""))</f>
        <v>2Ду200</v>
      </c>
    </row>
    <row r="36" spans="1:12" x14ac:dyDescent="0.25">
      <c r="A36">
        <v>386967</v>
      </c>
      <c r="B36" t="s">
        <v>22</v>
      </c>
      <c r="C36" t="s">
        <v>21</v>
      </c>
      <c r="D36" t="s">
        <v>17</v>
      </c>
      <c r="E36">
        <v>80</v>
      </c>
      <c r="F36">
        <v>0.25900000000000001</v>
      </c>
      <c r="G36">
        <v>0.25900000000000001</v>
      </c>
      <c r="J36">
        <v>250</v>
      </c>
      <c r="K36" t="s">
        <v>18</v>
      </c>
      <c r="L36" t="str">
        <f>CONCATENATE("2Ду",J36,IF(H36*1000 &lt;&gt; 0, CONCATENATE("/",H36*1000), ""), IF(I36*1000 &lt;&gt; 0, CONCATENATE("/",I36*1000), ""))</f>
        <v>2Ду250</v>
      </c>
    </row>
    <row r="37" spans="1:12" x14ac:dyDescent="0.25">
      <c r="A37">
        <v>386970</v>
      </c>
      <c r="B37" t="s">
        <v>22</v>
      </c>
      <c r="C37" t="s">
        <v>21</v>
      </c>
      <c r="D37" t="s">
        <v>17</v>
      </c>
      <c r="E37">
        <v>70</v>
      </c>
      <c r="F37">
        <v>0.15</v>
      </c>
      <c r="G37">
        <v>0.15</v>
      </c>
      <c r="J37">
        <v>150</v>
      </c>
      <c r="K37" t="s">
        <v>18</v>
      </c>
      <c r="L37" t="str">
        <f>CONCATENATE("2Ду",J37,IF(H37*1000 &lt;&gt; 0, CONCATENATE("/",H37*1000), ""), IF(I37*1000 &lt;&gt; 0, CONCATENATE("/",I37*1000), ""))</f>
        <v>2Ду150</v>
      </c>
    </row>
    <row r="38" spans="1:12" x14ac:dyDescent="0.25">
      <c r="A38">
        <v>386972</v>
      </c>
      <c r="B38" t="s">
        <v>22</v>
      </c>
      <c r="C38" t="s">
        <v>21</v>
      </c>
      <c r="D38" t="s">
        <v>17</v>
      </c>
      <c r="E38">
        <v>6</v>
      </c>
      <c r="F38">
        <v>0.125</v>
      </c>
      <c r="G38">
        <v>0.125</v>
      </c>
      <c r="J38">
        <v>125</v>
      </c>
      <c r="K38" t="s">
        <v>18</v>
      </c>
      <c r="L38" t="str">
        <f>CONCATENATE("2Ду",J38,IF(H38*1000 &lt;&gt; 0, CONCATENATE("/",H38*1000), ""), IF(I38*1000 &lt;&gt; 0, CONCATENATE("/",I38*1000), ""))</f>
        <v>2Ду125</v>
      </c>
    </row>
    <row r="39" spans="1:12" x14ac:dyDescent="0.25">
      <c r="A39">
        <v>386622</v>
      </c>
      <c r="B39" t="s">
        <v>22</v>
      </c>
      <c r="C39" t="s">
        <v>13</v>
      </c>
      <c r="D39" t="s">
        <v>17</v>
      </c>
      <c r="E39">
        <v>126</v>
      </c>
      <c r="F39">
        <v>0.20699999999999999</v>
      </c>
      <c r="G39">
        <v>0.20699999999999999</v>
      </c>
      <c r="K39" t="s">
        <v>15</v>
      </c>
      <c r="L39" t="str">
        <f>CONCATENATE("2Ду",J39,IF(H39*1000 &lt;&gt; 0, CONCATENATE("/",H39*1000), ""), IF(I39*1000 &lt;&gt; 0, CONCATENATE("/",I39*1000), ""))</f>
        <v>2Ду</v>
      </c>
    </row>
    <row r="40" spans="1:12" x14ac:dyDescent="0.25">
      <c r="A40">
        <v>386625</v>
      </c>
      <c r="B40" t="s">
        <v>22</v>
      </c>
      <c r="C40" t="s">
        <v>13</v>
      </c>
      <c r="D40" t="s">
        <v>17</v>
      </c>
      <c r="E40">
        <v>20</v>
      </c>
      <c r="F40">
        <v>0.20699999999999999</v>
      </c>
      <c r="G40">
        <v>0.20699999999999999</v>
      </c>
      <c r="K40" t="s">
        <v>15</v>
      </c>
      <c r="L40" t="str">
        <f>CONCATENATE("2Ду",J40,IF(H40*1000 &lt;&gt; 0, CONCATENATE("/",H40*1000), ""), IF(I40*1000 &lt;&gt; 0, CONCATENATE("/",I40*1000), ""))</f>
        <v>2Ду</v>
      </c>
    </row>
    <row r="41" spans="1:12" x14ac:dyDescent="0.25">
      <c r="A41">
        <v>386881</v>
      </c>
      <c r="B41" t="s">
        <v>22</v>
      </c>
      <c r="C41" t="s">
        <v>23</v>
      </c>
      <c r="D41" t="s">
        <v>14</v>
      </c>
      <c r="E41">
        <v>420</v>
      </c>
      <c r="F41">
        <v>8.2000000000000003E-2</v>
      </c>
      <c r="G41">
        <v>8.2000000000000003E-2</v>
      </c>
      <c r="H41">
        <v>6.5000000000000002E-2</v>
      </c>
      <c r="I41">
        <v>5.0999999999999997E-2</v>
      </c>
      <c r="J41">
        <v>80</v>
      </c>
      <c r="K41" t="s">
        <v>24</v>
      </c>
      <c r="L41" t="str">
        <f>CONCATENATE("2Ду",J41,IF(H41*1000 &lt;&gt; 0, CONCATENATE("/",H41*1000), ""), IF(I41*1000 &lt;&gt; 0, CONCATENATE("/",I41*1000), ""))</f>
        <v>2Ду80/65/51</v>
      </c>
    </row>
    <row r="42" spans="1:12" x14ac:dyDescent="0.25">
      <c r="A42">
        <v>386909</v>
      </c>
      <c r="B42" t="s">
        <v>22</v>
      </c>
      <c r="C42" t="s">
        <v>13</v>
      </c>
      <c r="D42" t="s">
        <v>17</v>
      </c>
      <c r="F42">
        <v>0.125</v>
      </c>
      <c r="G42">
        <v>0.125</v>
      </c>
      <c r="J42">
        <v>125</v>
      </c>
      <c r="K42" t="s">
        <v>15</v>
      </c>
      <c r="L42" t="str">
        <f>CONCATENATE("2Ду",J42,IF(H42*1000 &lt;&gt; 0, CONCATENATE("/",H42*1000), ""), IF(I42*1000 &lt;&gt; 0, CONCATENATE("/",I42*1000), ""))</f>
        <v>2Ду125</v>
      </c>
    </row>
    <row r="43" spans="1:12" x14ac:dyDescent="0.25">
      <c r="A43">
        <v>386910</v>
      </c>
      <c r="B43" t="s">
        <v>22</v>
      </c>
      <c r="C43" t="s">
        <v>13</v>
      </c>
      <c r="D43" t="s">
        <v>17</v>
      </c>
      <c r="F43">
        <v>0.125</v>
      </c>
      <c r="G43">
        <v>0.125</v>
      </c>
      <c r="J43">
        <v>125</v>
      </c>
      <c r="K43" t="s">
        <v>15</v>
      </c>
      <c r="L43" t="str">
        <f>CONCATENATE("2Ду",J43,IF(H43*1000 &lt;&gt; 0, CONCATENATE("/",H43*1000), ""), IF(I43*1000 &lt;&gt; 0, CONCATENATE("/",I43*1000), ""))</f>
        <v>2Ду125</v>
      </c>
    </row>
    <row r="44" spans="1:12" x14ac:dyDescent="0.25">
      <c r="A44">
        <v>386595</v>
      </c>
      <c r="B44" t="s">
        <v>22</v>
      </c>
      <c r="C44" t="s">
        <v>13</v>
      </c>
      <c r="D44" t="s">
        <v>14</v>
      </c>
      <c r="E44">
        <v>56</v>
      </c>
      <c r="F44">
        <v>5.0999999999999997E-2</v>
      </c>
      <c r="G44">
        <v>5.0999999999999997E-2</v>
      </c>
      <c r="H44">
        <v>6.5000000000000002E-2</v>
      </c>
      <c r="I44">
        <v>5.0999999999999997E-2</v>
      </c>
      <c r="J44">
        <v>50</v>
      </c>
      <c r="K44" t="s">
        <v>15</v>
      </c>
      <c r="L44" t="str">
        <f>CONCATENATE("2Ду",J44,IF(H44*1000 &lt;&gt; 0, CONCATENATE("/",H44*1000), ""), IF(I44*1000 &lt;&gt; 0, CONCATENATE("/",I44*1000), ""))</f>
        <v>2Ду50/65/51</v>
      </c>
    </row>
    <row r="45" spans="1:12" x14ac:dyDescent="0.25">
      <c r="A45">
        <v>386611</v>
      </c>
      <c r="B45" t="s">
        <v>22</v>
      </c>
      <c r="C45" t="s">
        <v>13</v>
      </c>
      <c r="D45" t="s">
        <v>17</v>
      </c>
      <c r="E45">
        <v>77</v>
      </c>
      <c r="F45">
        <v>0.20699999999999999</v>
      </c>
      <c r="G45">
        <v>0.20699999999999999</v>
      </c>
      <c r="K45" t="s">
        <v>15</v>
      </c>
      <c r="L45" t="str">
        <f>CONCATENATE("2Ду",J45,IF(H45*1000 &lt;&gt; 0, CONCATENATE("/",H45*1000), ""), IF(I45*1000 &lt;&gt; 0, CONCATENATE("/",I45*1000), ""))</f>
        <v>2Ду</v>
      </c>
    </row>
    <row r="46" spans="1:12" x14ac:dyDescent="0.25">
      <c r="A46">
        <v>386613</v>
      </c>
      <c r="B46" t="s">
        <v>22</v>
      </c>
      <c r="C46" t="s">
        <v>13</v>
      </c>
      <c r="D46" t="s">
        <v>17</v>
      </c>
      <c r="E46">
        <v>185</v>
      </c>
      <c r="F46">
        <v>0.20699999999999999</v>
      </c>
      <c r="G46">
        <v>0.20699999999999999</v>
      </c>
      <c r="K46" t="s">
        <v>15</v>
      </c>
      <c r="L46" t="str">
        <f>CONCATENATE("2Ду",J46,IF(H46*1000 &lt;&gt; 0, CONCATENATE("/",H46*1000), ""), IF(I46*1000 &lt;&gt; 0, CONCATENATE("/",I46*1000), ""))</f>
        <v>2Ду</v>
      </c>
    </row>
    <row r="47" spans="1:12" x14ac:dyDescent="0.25">
      <c r="A47">
        <v>386615</v>
      </c>
      <c r="B47" t="s">
        <v>22</v>
      </c>
      <c r="C47" t="s">
        <v>13</v>
      </c>
      <c r="D47" t="s">
        <v>17</v>
      </c>
      <c r="E47">
        <v>57</v>
      </c>
      <c r="F47">
        <v>0.20699999999999999</v>
      </c>
      <c r="G47">
        <v>0.20699999999999999</v>
      </c>
      <c r="K47" t="s">
        <v>15</v>
      </c>
      <c r="L47" t="str">
        <f>CONCATENATE("2Ду",J47,IF(H47*1000 &lt;&gt; 0, CONCATENATE("/",H47*1000), ""), IF(I47*1000 &lt;&gt; 0, CONCATENATE("/",I47*1000), ""))</f>
        <v>2Ду</v>
      </c>
    </row>
    <row r="48" spans="1:12" x14ac:dyDescent="0.25">
      <c r="A48">
        <v>386712</v>
      </c>
      <c r="B48" t="s">
        <v>22</v>
      </c>
      <c r="C48" t="s">
        <v>13</v>
      </c>
      <c r="D48" t="s">
        <v>14</v>
      </c>
      <c r="E48">
        <v>4.0199999999999996</v>
      </c>
      <c r="F48">
        <v>0.1</v>
      </c>
      <c r="G48">
        <v>0.1</v>
      </c>
      <c r="H48">
        <v>8.2000000000000003E-2</v>
      </c>
      <c r="I48">
        <v>8.2000000000000003E-2</v>
      </c>
      <c r="J48">
        <v>100</v>
      </c>
      <c r="K48" t="s">
        <v>15</v>
      </c>
      <c r="L48" t="str">
        <f>CONCATENATE("2Ду",J48,IF(H48*1000 &lt;&gt; 0, CONCATENATE("/",H48*1000), ""), IF(I48*1000 &lt;&gt; 0, CONCATENATE("/",I48*1000), ""))</f>
        <v>2Ду100/82/82</v>
      </c>
    </row>
    <row r="49" spans="1:12" x14ac:dyDescent="0.25">
      <c r="A49">
        <v>386762</v>
      </c>
      <c r="B49" t="s">
        <v>22</v>
      </c>
      <c r="C49" t="s">
        <v>13</v>
      </c>
      <c r="D49" t="s">
        <v>17</v>
      </c>
      <c r="E49">
        <v>42</v>
      </c>
      <c r="F49">
        <v>0.20699999999999999</v>
      </c>
      <c r="G49">
        <v>0.20699999999999999</v>
      </c>
      <c r="J49">
        <v>200</v>
      </c>
      <c r="K49" t="s">
        <v>15</v>
      </c>
      <c r="L49" t="str">
        <f>CONCATENATE("2Ду",J49,IF(H49*1000 &lt;&gt; 0, CONCATENATE("/",H49*1000), ""), IF(I49*1000 &lt;&gt; 0, CONCATENATE("/",I49*1000), ""))</f>
        <v>2Ду200</v>
      </c>
    </row>
    <row r="50" spans="1:12" x14ac:dyDescent="0.25">
      <c r="A50">
        <v>386766</v>
      </c>
      <c r="B50" t="s">
        <v>22</v>
      </c>
      <c r="C50" t="s">
        <v>13</v>
      </c>
      <c r="D50" t="s">
        <v>17</v>
      </c>
      <c r="E50">
        <v>76</v>
      </c>
      <c r="F50">
        <v>0.20699999999999999</v>
      </c>
      <c r="G50">
        <v>0.20699999999999999</v>
      </c>
      <c r="K50" t="s">
        <v>15</v>
      </c>
      <c r="L50" t="str">
        <f>CONCATENATE("2Ду",J50,IF(H50*1000 &lt;&gt; 0, CONCATENATE("/",H50*1000), ""), IF(I50*1000 &lt;&gt; 0, CONCATENATE("/",I50*1000), ""))</f>
        <v>2Ду</v>
      </c>
    </row>
    <row r="51" spans="1:12" x14ac:dyDescent="0.25">
      <c r="A51">
        <v>386767</v>
      </c>
      <c r="B51" t="s">
        <v>22</v>
      </c>
      <c r="C51" t="s">
        <v>13</v>
      </c>
      <c r="D51" t="s">
        <v>17</v>
      </c>
      <c r="E51">
        <v>40</v>
      </c>
      <c r="F51">
        <v>0.20699999999999999</v>
      </c>
      <c r="G51">
        <v>0.20699999999999999</v>
      </c>
      <c r="K51" t="s">
        <v>15</v>
      </c>
      <c r="L51" t="str">
        <f>CONCATENATE("2Ду",J51,IF(H51*1000 &lt;&gt; 0, CONCATENATE("/",H51*1000), ""), IF(I51*1000 &lt;&gt; 0, CONCATENATE("/",I51*1000), ""))</f>
        <v>2Ду</v>
      </c>
    </row>
    <row r="52" spans="1:12" x14ac:dyDescent="0.25">
      <c r="A52">
        <v>386768</v>
      </c>
      <c r="B52" t="s">
        <v>22</v>
      </c>
      <c r="C52" t="s">
        <v>13</v>
      </c>
      <c r="D52" t="s">
        <v>17</v>
      </c>
      <c r="E52">
        <v>34</v>
      </c>
      <c r="F52">
        <v>0.20699999999999999</v>
      </c>
      <c r="G52">
        <v>0.20699999999999999</v>
      </c>
      <c r="K52" t="s">
        <v>15</v>
      </c>
      <c r="L52" t="str">
        <f>CONCATENATE("2Ду",J52,IF(H52*1000 &lt;&gt; 0, CONCATENATE("/",H52*1000), ""), IF(I52*1000 &lt;&gt; 0, CONCATENATE("/",I52*1000), ""))</f>
        <v>2Ду</v>
      </c>
    </row>
    <row r="53" spans="1:12" x14ac:dyDescent="0.25">
      <c r="A53">
        <v>386770</v>
      </c>
      <c r="B53" t="s">
        <v>22</v>
      </c>
      <c r="C53" t="s">
        <v>13</v>
      </c>
      <c r="D53" t="s">
        <v>17</v>
      </c>
      <c r="E53">
        <v>97</v>
      </c>
      <c r="F53">
        <v>0.20699999999999999</v>
      </c>
      <c r="G53">
        <v>0.20699999999999999</v>
      </c>
      <c r="K53" t="s">
        <v>15</v>
      </c>
      <c r="L53" t="str">
        <f>CONCATENATE("2Ду",J53,IF(H53*1000 &lt;&gt; 0, CONCATENATE("/",H53*1000), ""), IF(I53*1000 &lt;&gt; 0, CONCATENATE("/",I53*1000), ""))</f>
        <v>2Ду</v>
      </c>
    </row>
    <row r="54" spans="1:12" x14ac:dyDescent="0.25">
      <c r="A54">
        <v>386773</v>
      </c>
      <c r="B54" t="s">
        <v>22</v>
      </c>
      <c r="C54" t="s">
        <v>13</v>
      </c>
      <c r="D54" t="s">
        <v>14</v>
      </c>
      <c r="E54">
        <v>69</v>
      </c>
      <c r="F54">
        <v>8.2000000000000003E-2</v>
      </c>
      <c r="G54">
        <v>8.2000000000000003E-2</v>
      </c>
      <c r="J54">
        <v>80</v>
      </c>
      <c r="K54" t="s">
        <v>15</v>
      </c>
      <c r="L54" t="str">
        <f>CONCATENATE("2Ду",J54,IF(H54*1000 &lt;&gt; 0, CONCATENATE("/",H54*1000), ""), IF(I54*1000 &lt;&gt; 0, CONCATENATE("/",I54*1000), ""))</f>
        <v>2Ду80</v>
      </c>
    </row>
    <row r="55" spans="1:12" x14ac:dyDescent="0.25">
      <c r="A55">
        <v>386774</v>
      </c>
      <c r="B55" t="s">
        <v>22</v>
      </c>
      <c r="C55" t="s">
        <v>13</v>
      </c>
      <c r="D55" t="s">
        <v>14</v>
      </c>
      <c r="E55">
        <v>46</v>
      </c>
      <c r="F55">
        <v>0.15</v>
      </c>
      <c r="G55">
        <v>0.15</v>
      </c>
      <c r="H55">
        <v>0.125</v>
      </c>
      <c r="I55">
        <v>0.1</v>
      </c>
      <c r="J55">
        <v>150</v>
      </c>
      <c r="K55" t="s">
        <v>15</v>
      </c>
      <c r="L55" t="str">
        <f>CONCATENATE("2Ду",J55,IF(H55*1000 &lt;&gt; 0, CONCATENATE("/",H55*1000), ""), IF(I55*1000 &lt;&gt; 0, CONCATENATE("/",I55*1000), ""))</f>
        <v>2Ду150/125/100</v>
      </c>
    </row>
    <row r="56" spans="1:12" x14ac:dyDescent="0.25">
      <c r="A56">
        <v>386776</v>
      </c>
      <c r="B56" t="s">
        <v>22</v>
      </c>
      <c r="C56" t="s">
        <v>13</v>
      </c>
      <c r="D56" t="s">
        <v>14</v>
      </c>
      <c r="E56">
        <v>123</v>
      </c>
      <c r="F56">
        <v>0.15</v>
      </c>
      <c r="G56">
        <v>0.15</v>
      </c>
      <c r="H56">
        <v>0.15</v>
      </c>
      <c r="I56">
        <v>0.125</v>
      </c>
      <c r="J56">
        <v>150</v>
      </c>
      <c r="K56" t="s">
        <v>15</v>
      </c>
      <c r="L56" t="str">
        <f>CONCATENATE("2Ду",J56,IF(H56*1000 &lt;&gt; 0, CONCATENATE("/",H56*1000), ""), IF(I56*1000 &lt;&gt; 0, CONCATENATE("/",I56*1000), ""))</f>
        <v>2Ду150/150/125</v>
      </c>
    </row>
    <row r="57" spans="1:12" x14ac:dyDescent="0.25">
      <c r="A57">
        <v>386778</v>
      </c>
      <c r="B57" t="s">
        <v>22</v>
      </c>
      <c r="C57" t="s">
        <v>13</v>
      </c>
      <c r="D57" t="s">
        <v>14</v>
      </c>
      <c r="E57">
        <v>22.22</v>
      </c>
      <c r="F57">
        <v>0.1</v>
      </c>
      <c r="G57">
        <v>0.1</v>
      </c>
      <c r="H57">
        <v>8.2000000000000003E-2</v>
      </c>
      <c r="I57">
        <v>8.2000000000000003E-2</v>
      </c>
      <c r="J57">
        <v>100</v>
      </c>
      <c r="K57" t="s">
        <v>15</v>
      </c>
      <c r="L57" t="str">
        <f>CONCATENATE("2Ду",J57,IF(H57*1000 &lt;&gt; 0, CONCATENATE("/",H57*1000), ""), IF(I57*1000 &lt;&gt; 0, CONCATENATE("/",I57*1000), ""))</f>
        <v>2Ду100/82/82</v>
      </c>
    </row>
    <row r="58" spans="1:12" x14ac:dyDescent="0.25">
      <c r="A58">
        <v>386782</v>
      </c>
      <c r="B58" t="s">
        <v>22</v>
      </c>
      <c r="C58" t="s">
        <v>13</v>
      </c>
      <c r="D58" t="s">
        <v>14</v>
      </c>
      <c r="E58">
        <v>22</v>
      </c>
      <c r="F58">
        <v>0.20699999999999999</v>
      </c>
      <c r="G58">
        <v>0.20699999999999999</v>
      </c>
      <c r="H58">
        <v>0.15</v>
      </c>
      <c r="I58">
        <v>0.15</v>
      </c>
      <c r="J58">
        <v>200</v>
      </c>
      <c r="K58" t="s">
        <v>15</v>
      </c>
      <c r="L58" t="str">
        <f>CONCATENATE("2Ду",J58,IF(H58*1000 &lt;&gt; 0, CONCATENATE("/",H58*1000), ""), IF(I58*1000 &lt;&gt; 0, CONCATENATE("/",I58*1000), ""))</f>
        <v>2Ду200/150/150</v>
      </c>
    </row>
    <row r="59" spans="1:12" x14ac:dyDescent="0.25">
      <c r="A59">
        <v>386828</v>
      </c>
      <c r="B59" t="s">
        <v>22</v>
      </c>
      <c r="C59" t="s">
        <v>13</v>
      </c>
      <c r="D59" t="s">
        <v>17</v>
      </c>
      <c r="E59">
        <v>85.27</v>
      </c>
      <c r="F59">
        <v>0.20699999999999999</v>
      </c>
      <c r="G59">
        <v>0.20699999999999999</v>
      </c>
      <c r="J59">
        <v>200</v>
      </c>
      <c r="K59" t="s">
        <v>15</v>
      </c>
      <c r="L59" t="str">
        <f>CONCATENATE("2Ду",J59,IF(H59*1000 &lt;&gt; 0, CONCATENATE("/",H59*1000), ""), IF(I59*1000 &lt;&gt; 0, CONCATENATE("/",I59*1000), ""))</f>
        <v>2Ду200</v>
      </c>
    </row>
    <row r="60" spans="1:12" x14ac:dyDescent="0.25">
      <c r="A60">
        <v>386834</v>
      </c>
      <c r="B60" t="s">
        <v>22</v>
      </c>
      <c r="C60" t="s">
        <v>13</v>
      </c>
      <c r="D60" t="s">
        <v>14</v>
      </c>
      <c r="E60">
        <v>9.15</v>
      </c>
      <c r="F60">
        <v>0.1</v>
      </c>
      <c r="G60">
        <v>0.1</v>
      </c>
      <c r="H60">
        <v>8.2000000000000003E-2</v>
      </c>
      <c r="I60">
        <v>6.5000000000000002E-2</v>
      </c>
      <c r="J60">
        <v>100</v>
      </c>
      <c r="K60" t="s">
        <v>15</v>
      </c>
      <c r="L60" t="str">
        <f>CONCATENATE("2Ду",J60,IF(H60*1000 &lt;&gt; 0, CONCATENATE("/",H60*1000), ""), IF(I60*1000 &lt;&gt; 0, CONCATENATE("/",I60*1000), ""))</f>
        <v>2Ду100/82/65</v>
      </c>
    </row>
    <row r="61" spans="1:12" x14ac:dyDescent="0.25">
      <c r="A61">
        <v>386837</v>
      </c>
      <c r="B61" t="s">
        <v>22</v>
      </c>
      <c r="C61" t="s">
        <v>13</v>
      </c>
      <c r="D61" t="s">
        <v>14</v>
      </c>
      <c r="E61">
        <v>10.93</v>
      </c>
      <c r="F61">
        <v>0.1</v>
      </c>
      <c r="G61">
        <v>0.1</v>
      </c>
      <c r="H61">
        <v>0.1</v>
      </c>
      <c r="I61">
        <v>6.5000000000000002E-2</v>
      </c>
      <c r="J61">
        <v>100</v>
      </c>
      <c r="K61" t="s">
        <v>15</v>
      </c>
      <c r="L61" t="str">
        <f>CONCATENATE("2Ду",J61,IF(H61*1000 &lt;&gt; 0, CONCATENATE("/",H61*1000), ""), IF(I61*1000 &lt;&gt; 0, CONCATENATE("/",I61*1000), ""))</f>
        <v>2Ду100/100/65</v>
      </c>
    </row>
    <row r="62" spans="1:12" x14ac:dyDescent="0.25">
      <c r="A62">
        <v>386838</v>
      </c>
      <c r="B62" t="s">
        <v>22</v>
      </c>
      <c r="C62" t="s">
        <v>13</v>
      </c>
      <c r="D62" t="s">
        <v>14</v>
      </c>
      <c r="E62">
        <v>22.88</v>
      </c>
      <c r="F62">
        <v>8.2000000000000003E-2</v>
      </c>
      <c r="G62">
        <v>8.2000000000000003E-2</v>
      </c>
      <c r="H62">
        <v>6.5000000000000002E-2</v>
      </c>
      <c r="I62">
        <v>5.0999999999999997E-2</v>
      </c>
      <c r="J62">
        <v>80</v>
      </c>
      <c r="K62" t="s">
        <v>15</v>
      </c>
      <c r="L62" t="str">
        <f>CONCATENATE("2Ду",J62,IF(H62*1000 &lt;&gt; 0, CONCATENATE("/",H62*1000), ""), IF(I62*1000 &lt;&gt; 0, CONCATENATE("/",I62*1000), ""))</f>
        <v>2Ду80/65/51</v>
      </c>
    </row>
    <row r="63" spans="1:12" x14ac:dyDescent="0.25">
      <c r="A63">
        <v>386839</v>
      </c>
      <c r="B63" t="s">
        <v>22</v>
      </c>
      <c r="C63" t="s">
        <v>13</v>
      </c>
      <c r="D63" t="s">
        <v>14</v>
      </c>
      <c r="E63">
        <v>19.72</v>
      </c>
      <c r="F63">
        <v>8.2000000000000003E-2</v>
      </c>
      <c r="G63">
        <v>8.2000000000000003E-2</v>
      </c>
      <c r="H63">
        <v>6.5000000000000002E-2</v>
      </c>
      <c r="I63">
        <v>5.0999999999999997E-2</v>
      </c>
      <c r="J63">
        <v>80</v>
      </c>
      <c r="K63" t="s">
        <v>15</v>
      </c>
      <c r="L63" t="str">
        <f>CONCATENATE("2Ду",J63,IF(H63*1000 &lt;&gt; 0, CONCATENATE("/",H63*1000), ""), IF(I63*1000 &lt;&gt; 0, CONCATENATE("/",I63*1000), ""))</f>
        <v>2Ду80/65/51</v>
      </c>
    </row>
    <row r="64" spans="1:12" x14ac:dyDescent="0.25">
      <c r="A64">
        <v>386840</v>
      </c>
      <c r="B64" t="s">
        <v>22</v>
      </c>
      <c r="C64" t="s">
        <v>13</v>
      </c>
      <c r="D64" t="s">
        <v>14</v>
      </c>
      <c r="E64">
        <v>11.08</v>
      </c>
      <c r="F64">
        <v>0.125</v>
      </c>
      <c r="G64">
        <v>0.125</v>
      </c>
      <c r="H64">
        <v>0.125</v>
      </c>
      <c r="I64">
        <v>0.1</v>
      </c>
      <c r="J64">
        <v>125</v>
      </c>
      <c r="K64" t="s">
        <v>15</v>
      </c>
      <c r="L64" t="str">
        <f>CONCATENATE("2Ду",J64,IF(H64*1000 &lt;&gt; 0, CONCATENATE("/",H64*1000), ""), IF(I64*1000 &lt;&gt; 0, CONCATENATE("/",I64*1000), ""))</f>
        <v>2Ду125/125/100</v>
      </c>
    </row>
    <row r="65" spans="1:12" x14ac:dyDescent="0.25">
      <c r="A65">
        <v>386841</v>
      </c>
      <c r="B65" t="s">
        <v>22</v>
      </c>
      <c r="C65" t="s">
        <v>13</v>
      </c>
      <c r="D65" t="s">
        <v>14</v>
      </c>
      <c r="E65">
        <v>12.36</v>
      </c>
      <c r="F65">
        <v>0.1</v>
      </c>
      <c r="G65">
        <v>0.1</v>
      </c>
      <c r="H65">
        <v>0.1</v>
      </c>
      <c r="I65">
        <v>6.5000000000000002E-2</v>
      </c>
      <c r="J65">
        <v>100</v>
      </c>
      <c r="K65" t="s">
        <v>15</v>
      </c>
      <c r="L65" t="str">
        <f>CONCATENATE("2Ду",J65,IF(H65*1000 &lt;&gt; 0, CONCATENATE("/",H65*1000), ""), IF(I65*1000 &lt;&gt; 0, CONCATENATE("/",I65*1000), ""))</f>
        <v>2Ду100/100/65</v>
      </c>
    </row>
    <row r="66" spans="1:12" x14ac:dyDescent="0.25">
      <c r="A66">
        <v>386842</v>
      </c>
      <c r="B66" t="s">
        <v>22</v>
      </c>
      <c r="C66" t="s">
        <v>13</v>
      </c>
      <c r="D66" t="s">
        <v>14</v>
      </c>
      <c r="E66">
        <v>10.35</v>
      </c>
      <c r="F66">
        <v>0.15</v>
      </c>
      <c r="G66">
        <v>0.15</v>
      </c>
      <c r="H66">
        <v>0.125</v>
      </c>
      <c r="I66">
        <v>0.1</v>
      </c>
      <c r="J66">
        <v>150</v>
      </c>
      <c r="K66" t="s">
        <v>15</v>
      </c>
      <c r="L66" t="str">
        <f>CONCATENATE("2Ду",J66,IF(H66*1000 &lt;&gt; 0, CONCATENATE("/",H66*1000), ""), IF(I66*1000 &lt;&gt; 0, CONCATENATE("/",I66*1000), ""))</f>
        <v>2Ду150/125/100</v>
      </c>
    </row>
    <row r="67" spans="1:12" x14ac:dyDescent="0.25">
      <c r="A67">
        <v>386843</v>
      </c>
      <c r="B67" t="s">
        <v>22</v>
      </c>
      <c r="C67" t="s">
        <v>13</v>
      </c>
      <c r="D67" t="s">
        <v>14</v>
      </c>
      <c r="E67">
        <v>14.62</v>
      </c>
      <c r="F67">
        <v>0.15</v>
      </c>
      <c r="G67">
        <v>0.15</v>
      </c>
      <c r="H67">
        <v>0.125</v>
      </c>
      <c r="I67">
        <v>0.1</v>
      </c>
      <c r="J67">
        <v>150</v>
      </c>
      <c r="K67" t="s">
        <v>15</v>
      </c>
      <c r="L67" t="str">
        <f>CONCATENATE("2Ду",J67,IF(H67*1000 &lt;&gt; 0, CONCATENATE("/",H67*1000), ""), IF(I67*1000 &lt;&gt; 0, CONCATENATE("/",I67*1000), ""))</f>
        <v>2Ду150/125/100</v>
      </c>
    </row>
    <row r="68" spans="1:12" x14ac:dyDescent="0.25">
      <c r="A68">
        <v>386852</v>
      </c>
      <c r="B68" t="s">
        <v>22</v>
      </c>
      <c r="C68" t="s">
        <v>13</v>
      </c>
      <c r="D68" t="s">
        <v>14</v>
      </c>
      <c r="E68">
        <v>14.2</v>
      </c>
      <c r="F68">
        <v>5.0999999999999997E-2</v>
      </c>
      <c r="G68">
        <v>5.0999999999999997E-2</v>
      </c>
      <c r="H68">
        <v>6.5000000000000002E-2</v>
      </c>
      <c r="I68">
        <v>5.0999999999999997E-2</v>
      </c>
      <c r="J68">
        <v>50</v>
      </c>
      <c r="K68" t="s">
        <v>15</v>
      </c>
      <c r="L68" t="str">
        <f>CONCATENATE("2Ду",J68,IF(H68*1000 &lt;&gt; 0, CONCATENATE("/",H68*1000), ""), IF(I68*1000 &lt;&gt; 0, CONCATENATE("/",I68*1000), ""))</f>
        <v>2Ду50/65/51</v>
      </c>
    </row>
    <row r="69" spans="1:12" x14ac:dyDescent="0.25">
      <c r="A69">
        <v>386858</v>
      </c>
      <c r="B69" t="s">
        <v>22</v>
      </c>
      <c r="C69" t="s">
        <v>13</v>
      </c>
      <c r="D69" t="s">
        <v>17</v>
      </c>
      <c r="E69">
        <v>38.5</v>
      </c>
      <c r="F69">
        <v>0.20699999999999999</v>
      </c>
      <c r="G69">
        <v>0.20699999999999999</v>
      </c>
      <c r="K69" t="s">
        <v>15</v>
      </c>
      <c r="L69" t="str">
        <f>CONCATENATE("2Ду",J69,IF(H69*1000 &lt;&gt; 0, CONCATENATE("/",H69*1000), ""), IF(I69*1000 &lt;&gt; 0, CONCATENATE("/",I69*1000), ""))</f>
        <v>2Ду</v>
      </c>
    </row>
    <row r="70" spans="1:12" x14ac:dyDescent="0.25">
      <c r="A70">
        <v>386859</v>
      </c>
      <c r="B70" t="s">
        <v>22</v>
      </c>
      <c r="C70" t="s">
        <v>13</v>
      </c>
      <c r="D70" t="s">
        <v>17</v>
      </c>
      <c r="E70">
        <v>65</v>
      </c>
      <c r="F70">
        <v>0.20699999999999999</v>
      </c>
      <c r="G70">
        <v>0.20699999999999999</v>
      </c>
      <c r="K70" t="s">
        <v>15</v>
      </c>
      <c r="L70" t="str">
        <f>CONCATENATE("2Ду",J70,IF(H70*1000 &lt;&gt; 0, CONCATENATE("/",H70*1000), ""), IF(I70*1000 &lt;&gt; 0, CONCATENATE("/",I70*1000), ""))</f>
        <v>2Ду</v>
      </c>
    </row>
    <row r="71" spans="1:12" x14ac:dyDescent="0.25">
      <c r="A71">
        <v>386861</v>
      </c>
      <c r="B71" t="s">
        <v>22</v>
      </c>
      <c r="C71" t="s">
        <v>13</v>
      </c>
      <c r="D71" t="s">
        <v>14</v>
      </c>
      <c r="E71">
        <v>54</v>
      </c>
      <c r="F71">
        <v>0.125</v>
      </c>
      <c r="G71">
        <v>0.125</v>
      </c>
      <c r="H71">
        <v>0.125</v>
      </c>
      <c r="I71">
        <v>0.1</v>
      </c>
      <c r="J71">
        <v>125</v>
      </c>
      <c r="K71" t="s">
        <v>15</v>
      </c>
      <c r="L71" t="str">
        <f>CONCATENATE("2Ду",J71,IF(H71*1000 &lt;&gt; 0, CONCATENATE("/",H71*1000), ""), IF(I71*1000 &lt;&gt; 0, CONCATENATE("/",I71*1000), ""))</f>
        <v>2Ду125/125/100</v>
      </c>
    </row>
    <row r="72" spans="1:12" x14ac:dyDescent="0.25">
      <c r="A72">
        <v>386864</v>
      </c>
      <c r="B72" t="s">
        <v>22</v>
      </c>
      <c r="C72" t="s">
        <v>13</v>
      </c>
      <c r="D72" t="s">
        <v>14</v>
      </c>
      <c r="E72">
        <v>46</v>
      </c>
      <c r="F72">
        <v>8.2000000000000003E-2</v>
      </c>
      <c r="G72">
        <v>8.2000000000000003E-2</v>
      </c>
      <c r="H72">
        <v>6.5000000000000002E-2</v>
      </c>
      <c r="I72">
        <v>5.0999999999999997E-2</v>
      </c>
      <c r="J72">
        <v>80</v>
      </c>
      <c r="K72" t="s">
        <v>15</v>
      </c>
      <c r="L72" t="str">
        <f>CONCATENATE("2Ду",J72,IF(H72*1000 &lt;&gt; 0, CONCATENATE("/",H72*1000), ""), IF(I72*1000 &lt;&gt; 0, CONCATENATE("/",I72*1000), ""))</f>
        <v>2Ду80/65/51</v>
      </c>
    </row>
    <row r="73" spans="1:12" x14ac:dyDescent="0.25">
      <c r="A73">
        <v>386866</v>
      </c>
      <c r="B73" t="s">
        <v>22</v>
      </c>
      <c r="C73" t="s">
        <v>13</v>
      </c>
      <c r="D73" t="s">
        <v>14</v>
      </c>
      <c r="E73">
        <v>47</v>
      </c>
      <c r="F73">
        <v>0.1</v>
      </c>
      <c r="G73">
        <v>0.1</v>
      </c>
      <c r="H73">
        <v>8.2000000000000003E-2</v>
      </c>
      <c r="I73">
        <v>6.5000000000000002E-2</v>
      </c>
      <c r="J73">
        <v>100</v>
      </c>
      <c r="K73" t="s">
        <v>15</v>
      </c>
      <c r="L73" t="str">
        <f>CONCATENATE("2Ду",J73,IF(H73*1000 &lt;&gt; 0, CONCATENATE("/",H73*1000), ""), IF(I73*1000 &lt;&gt; 0, CONCATENATE("/",I73*1000), ""))</f>
        <v>2Ду100/82/65</v>
      </c>
    </row>
    <row r="74" spans="1:12" x14ac:dyDescent="0.25">
      <c r="A74">
        <v>386867</v>
      </c>
      <c r="B74" t="s">
        <v>22</v>
      </c>
      <c r="C74" t="s">
        <v>13</v>
      </c>
      <c r="D74" t="s">
        <v>14</v>
      </c>
      <c r="E74">
        <v>66</v>
      </c>
      <c r="F74">
        <v>0.125</v>
      </c>
      <c r="G74">
        <v>0.125</v>
      </c>
      <c r="H74">
        <v>8.2000000000000003E-2</v>
      </c>
      <c r="I74">
        <v>8.2000000000000003E-2</v>
      </c>
      <c r="J74">
        <v>125</v>
      </c>
      <c r="K74" t="s">
        <v>15</v>
      </c>
      <c r="L74" t="str">
        <f>CONCATENATE("2Ду",J74,IF(H74*1000 &lt;&gt; 0, CONCATENATE("/",H74*1000), ""), IF(I74*1000 &lt;&gt; 0, CONCATENATE("/",I74*1000), ""))</f>
        <v>2Ду125/82/82</v>
      </c>
    </row>
    <row r="75" spans="1:12" x14ac:dyDescent="0.25">
      <c r="A75">
        <v>386868</v>
      </c>
      <c r="B75" t="s">
        <v>22</v>
      </c>
      <c r="C75" t="s">
        <v>13</v>
      </c>
      <c r="D75" t="s">
        <v>14</v>
      </c>
      <c r="E75">
        <v>47</v>
      </c>
      <c r="F75">
        <v>0.1</v>
      </c>
      <c r="G75">
        <v>0.1</v>
      </c>
      <c r="H75">
        <v>0.1</v>
      </c>
      <c r="I75">
        <v>6.5000000000000002E-2</v>
      </c>
      <c r="J75">
        <v>100</v>
      </c>
      <c r="K75" t="s">
        <v>15</v>
      </c>
      <c r="L75" t="str">
        <f>CONCATENATE("2Ду",J75,IF(H75*1000 &lt;&gt; 0, CONCATENATE("/",H75*1000), ""), IF(I75*1000 &lt;&gt; 0, CONCATENATE("/",I75*1000), ""))</f>
        <v>2Ду100/100/65</v>
      </c>
    </row>
    <row r="76" spans="1:12" x14ac:dyDescent="0.25">
      <c r="A76">
        <v>386869</v>
      </c>
      <c r="B76" t="s">
        <v>22</v>
      </c>
      <c r="C76" t="s">
        <v>13</v>
      </c>
      <c r="D76" t="s">
        <v>14</v>
      </c>
      <c r="E76">
        <v>36</v>
      </c>
      <c r="F76">
        <v>8.2000000000000003E-2</v>
      </c>
      <c r="G76">
        <v>8.2000000000000003E-2</v>
      </c>
      <c r="H76">
        <v>6.5000000000000002E-2</v>
      </c>
      <c r="I76">
        <v>5.0999999999999997E-2</v>
      </c>
      <c r="J76">
        <v>80</v>
      </c>
      <c r="K76" t="s">
        <v>15</v>
      </c>
      <c r="L76" t="str">
        <f>CONCATENATE("2Ду",J76,IF(H76*1000 &lt;&gt; 0, CONCATENATE("/",H76*1000), ""), IF(I76*1000 &lt;&gt; 0, CONCATENATE("/",I76*1000), ""))</f>
        <v>2Ду80/65/51</v>
      </c>
    </row>
    <row r="77" spans="1:12" x14ac:dyDescent="0.25">
      <c r="A77">
        <v>386888</v>
      </c>
      <c r="B77" t="s">
        <v>22</v>
      </c>
      <c r="C77" t="s">
        <v>13</v>
      </c>
      <c r="D77" t="s">
        <v>17</v>
      </c>
      <c r="E77">
        <v>124.1</v>
      </c>
      <c r="F77">
        <v>8.2000000000000003E-2</v>
      </c>
      <c r="G77">
        <v>8.2000000000000003E-2</v>
      </c>
      <c r="K77" t="s">
        <v>15</v>
      </c>
      <c r="L77" t="str">
        <f>CONCATENATE("2Ду",J77,IF(H77*1000 &lt;&gt; 0, CONCATENATE("/",H77*1000), ""), IF(I77*1000 &lt;&gt; 0, CONCATENATE("/",I77*1000), ""))</f>
        <v>2Ду</v>
      </c>
    </row>
    <row r="78" spans="1:12" x14ac:dyDescent="0.25">
      <c r="A78">
        <v>386895</v>
      </c>
      <c r="B78" t="s">
        <v>22</v>
      </c>
      <c r="C78" t="s">
        <v>13</v>
      </c>
      <c r="D78" t="s">
        <v>17</v>
      </c>
      <c r="E78">
        <v>39.35</v>
      </c>
      <c r="F78">
        <v>0.20699999999999999</v>
      </c>
      <c r="G78">
        <v>0.20699999999999999</v>
      </c>
      <c r="K78" t="s">
        <v>15</v>
      </c>
      <c r="L78" t="str">
        <f>CONCATENATE("2Ду",J78,IF(H78*1000 &lt;&gt; 0, CONCATENATE("/",H78*1000), ""), IF(I78*1000 &lt;&gt; 0, CONCATENATE("/",I78*1000), ""))</f>
        <v>2Ду</v>
      </c>
    </row>
    <row r="79" spans="1:12" x14ac:dyDescent="0.25">
      <c r="A79">
        <v>386900</v>
      </c>
      <c r="B79" t="s">
        <v>22</v>
      </c>
      <c r="C79" t="s">
        <v>13</v>
      </c>
      <c r="D79" t="s">
        <v>17</v>
      </c>
      <c r="E79">
        <v>50</v>
      </c>
      <c r="F79">
        <v>0.20699999999999999</v>
      </c>
      <c r="G79">
        <v>0.20699999999999999</v>
      </c>
      <c r="J79">
        <v>200</v>
      </c>
      <c r="K79" t="s">
        <v>15</v>
      </c>
      <c r="L79" t="str">
        <f>CONCATENATE("2Ду",J79,IF(H79*1000 &lt;&gt; 0, CONCATENATE("/",H79*1000), ""), IF(I79*1000 &lt;&gt; 0, CONCATENATE("/",I79*1000), ""))</f>
        <v>2Ду200</v>
      </c>
    </row>
    <row r="80" spans="1:12" x14ac:dyDescent="0.25">
      <c r="A80">
        <v>386901</v>
      </c>
      <c r="B80" t="s">
        <v>22</v>
      </c>
      <c r="C80" t="s">
        <v>13</v>
      </c>
      <c r="D80" t="s">
        <v>17</v>
      </c>
      <c r="E80">
        <v>190</v>
      </c>
      <c r="F80">
        <v>0.20699999999999999</v>
      </c>
      <c r="G80">
        <v>0.20699999999999999</v>
      </c>
      <c r="J80">
        <v>200</v>
      </c>
      <c r="K80" t="s">
        <v>15</v>
      </c>
      <c r="L80" t="str">
        <f>CONCATENATE("2Ду",J80,IF(H80*1000 &lt;&gt; 0, CONCATENATE("/",H80*1000), ""), IF(I80*1000 &lt;&gt; 0, CONCATENATE("/",I80*1000), ""))</f>
        <v>2Ду200</v>
      </c>
    </row>
    <row r="81" spans="1:12" x14ac:dyDescent="0.25">
      <c r="A81">
        <v>386905</v>
      </c>
      <c r="B81" t="s">
        <v>22</v>
      </c>
      <c r="C81" t="s">
        <v>13</v>
      </c>
      <c r="D81" t="s">
        <v>14</v>
      </c>
      <c r="E81">
        <v>48.23</v>
      </c>
      <c r="F81">
        <v>8.2000000000000003E-2</v>
      </c>
      <c r="G81">
        <v>8.2000000000000003E-2</v>
      </c>
      <c r="H81">
        <v>6.5000000000000002E-2</v>
      </c>
      <c r="I81">
        <v>6.5000000000000002E-2</v>
      </c>
      <c r="J81">
        <v>80</v>
      </c>
      <c r="K81" t="s">
        <v>15</v>
      </c>
      <c r="L81" t="str">
        <f>CONCATENATE("2Ду",J81,IF(H81*1000 &lt;&gt; 0, CONCATENATE("/",H81*1000), ""), IF(I81*1000 &lt;&gt; 0, CONCATENATE("/",I81*1000), ""))</f>
        <v>2Ду80/65/65</v>
      </c>
    </row>
    <row r="82" spans="1:12" x14ac:dyDescent="0.25">
      <c r="A82">
        <v>386906</v>
      </c>
      <c r="B82" t="s">
        <v>22</v>
      </c>
      <c r="C82" t="s">
        <v>13</v>
      </c>
      <c r="D82" t="s">
        <v>14</v>
      </c>
      <c r="E82">
        <v>58.77</v>
      </c>
      <c r="F82">
        <v>8.2000000000000003E-2</v>
      </c>
      <c r="G82">
        <v>8.2000000000000003E-2</v>
      </c>
      <c r="H82">
        <v>6.5000000000000002E-2</v>
      </c>
      <c r="I82">
        <v>6.5000000000000002E-2</v>
      </c>
      <c r="J82">
        <v>80</v>
      </c>
      <c r="K82" t="s">
        <v>15</v>
      </c>
      <c r="L82" t="str">
        <f>CONCATENATE("2Ду",J82,IF(H82*1000 &lt;&gt; 0, CONCATENATE("/",H82*1000), ""), IF(I82*1000 &lt;&gt; 0, CONCATENATE("/",I82*1000), ""))</f>
        <v>2Ду80/65/65</v>
      </c>
    </row>
    <row r="83" spans="1:12" x14ac:dyDescent="0.25">
      <c r="A83">
        <v>386929</v>
      </c>
      <c r="B83" t="s">
        <v>22</v>
      </c>
      <c r="C83" t="s">
        <v>21</v>
      </c>
      <c r="D83" t="s">
        <v>14</v>
      </c>
      <c r="E83">
        <v>100</v>
      </c>
      <c r="F83">
        <v>8.2000000000000003E-2</v>
      </c>
      <c r="G83">
        <v>8.2000000000000003E-2</v>
      </c>
      <c r="H83">
        <v>0.04</v>
      </c>
      <c r="I83">
        <v>3.2000000000000001E-2</v>
      </c>
      <c r="J83">
        <v>80</v>
      </c>
      <c r="K83" t="s">
        <v>18</v>
      </c>
      <c r="L83" t="str">
        <f>CONCATENATE("2Ду",J83,IF(H83*1000 &lt;&gt; 0, CONCATENATE("/",H83*1000), ""), IF(I83*1000 &lt;&gt; 0, CONCATENATE("/",I83*1000), ""))</f>
        <v>2Ду80/40/32</v>
      </c>
    </row>
    <row r="84" spans="1:12" x14ac:dyDescent="0.25">
      <c r="A84">
        <v>386930</v>
      </c>
      <c r="B84" t="s">
        <v>22</v>
      </c>
      <c r="C84" t="s">
        <v>21</v>
      </c>
      <c r="D84" t="s">
        <v>14</v>
      </c>
      <c r="E84">
        <v>150</v>
      </c>
      <c r="F84">
        <v>0.15</v>
      </c>
      <c r="G84">
        <v>0.15</v>
      </c>
      <c r="H84">
        <v>8.2000000000000003E-2</v>
      </c>
      <c r="I84">
        <v>6.5000000000000002E-2</v>
      </c>
      <c r="J84">
        <v>150</v>
      </c>
      <c r="K84" t="s">
        <v>18</v>
      </c>
      <c r="L84" t="str">
        <f>CONCATENATE("2Ду",J84,IF(H84*1000 &lt;&gt; 0, CONCATENATE("/",H84*1000), ""), IF(I84*1000 &lt;&gt; 0, CONCATENATE("/",I84*1000), ""))</f>
        <v>2Ду150/82/65</v>
      </c>
    </row>
    <row r="85" spans="1:12" x14ac:dyDescent="0.25">
      <c r="A85">
        <v>386933</v>
      </c>
      <c r="B85" t="s">
        <v>22</v>
      </c>
      <c r="C85" t="s">
        <v>21</v>
      </c>
      <c r="D85" t="s">
        <v>14</v>
      </c>
      <c r="E85">
        <v>47.48</v>
      </c>
      <c r="F85">
        <v>8.2000000000000003E-2</v>
      </c>
      <c r="G85">
        <v>8.2000000000000003E-2</v>
      </c>
      <c r="H85">
        <v>6.5000000000000002E-2</v>
      </c>
      <c r="I85">
        <v>5.0999999999999997E-2</v>
      </c>
      <c r="J85">
        <v>80</v>
      </c>
      <c r="K85" t="s">
        <v>18</v>
      </c>
      <c r="L85" t="str">
        <f>CONCATENATE("2Ду",J85,IF(H85*1000 &lt;&gt; 0, CONCATENATE("/",H85*1000), ""), IF(I85*1000 &lt;&gt; 0, CONCATENATE("/",I85*1000), ""))</f>
        <v>2Ду80/65/51</v>
      </c>
    </row>
    <row r="86" spans="1:12" x14ac:dyDescent="0.25">
      <c r="A86">
        <v>386937</v>
      </c>
      <c r="B86" t="s">
        <v>22</v>
      </c>
      <c r="C86" t="s">
        <v>21</v>
      </c>
      <c r="D86" t="s">
        <v>14</v>
      </c>
      <c r="E86">
        <v>210</v>
      </c>
      <c r="F86">
        <v>8.2000000000000003E-2</v>
      </c>
      <c r="G86">
        <v>8.2000000000000003E-2</v>
      </c>
      <c r="H86">
        <v>6.5000000000000002E-2</v>
      </c>
      <c r="I86">
        <v>5.0999999999999997E-2</v>
      </c>
      <c r="J86">
        <v>80</v>
      </c>
      <c r="K86" t="s">
        <v>18</v>
      </c>
      <c r="L86" t="str">
        <f>CONCATENATE("2Ду",J86,IF(H86*1000 &lt;&gt; 0, CONCATENATE("/",H86*1000), ""), IF(I86*1000 &lt;&gt; 0, CONCATENATE("/",I86*1000), ""))</f>
        <v>2Ду80/65/51</v>
      </c>
    </row>
    <row r="87" spans="1:12" x14ac:dyDescent="0.25">
      <c r="A87">
        <v>386942</v>
      </c>
      <c r="B87" t="s">
        <v>22</v>
      </c>
      <c r="C87" t="s">
        <v>21</v>
      </c>
      <c r="D87" t="s">
        <v>17</v>
      </c>
      <c r="E87">
        <v>151</v>
      </c>
      <c r="F87">
        <v>0.125</v>
      </c>
      <c r="G87">
        <v>0.125</v>
      </c>
      <c r="J87">
        <v>125</v>
      </c>
      <c r="K87" t="s">
        <v>18</v>
      </c>
      <c r="L87" t="str">
        <f>CONCATENATE("2Ду",J87,IF(H87*1000 &lt;&gt; 0, CONCATENATE("/",H87*1000), ""), IF(I87*1000 &lt;&gt; 0, CONCATENATE("/",I87*1000), ""))</f>
        <v>2Ду125</v>
      </c>
    </row>
    <row r="88" spans="1:12" x14ac:dyDescent="0.25">
      <c r="A88">
        <v>386944</v>
      </c>
      <c r="B88" t="s">
        <v>22</v>
      </c>
      <c r="C88" t="s">
        <v>21</v>
      </c>
      <c r="D88" t="s">
        <v>17</v>
      </c>
      <c r="E88">
        <v>37.5</v>
      </c>
      <c r="F88">
        <v>0.15</v>
      </c>
      <c r="G88">
        <v>0.15</v>
      </c>
      <c r="J88">
        <v>150</v>
      </c>
      <c r="K88" t="s">
        <v>18</v>
      </c>
      <c r="L88" t="str">
        <f>CONCATENATE("2Ду",J88,IF(H88*1000 &lt;&gt; 0, CONCATENATE("/",H88*1000), ""), IF(I88*1000 &lt;&gt; 0, CONCATENATE("/",I88*1000), ""))</f>
        <v>2Ду150</v>
      </c>
    </row>
    <row r="89" spans="1:12" x14ac:dyDescent="0.25">
      <c r="A89">
        <v>386947</v>
      </c>
      <c r="B89" t="s">
        <v>22</v>
      </c>
      <c r="C89" t="s">
        <v>21</v>
      </c>
      <c r="D89" t="s">
        <v>17</v>
      </c>
      <c r="E89">
        <v>22.6</v>
      </c>
      <c r="F89">
        <v>0.20699999999999999</v>
      </c>
      <c r="G89">
        <v>0.20699999999999999</v>
      </c>
      <c r="J89">
        <v>200</v>
      </c>
      <c r="K89" t="s">
        <v>18</v>
      </c>
      <c r="L89" t="str">
        <f>CONCATENATE("2Ду",J89,IF(H89*1000 &lt;&gt; 0, CONCATENATE("/",H89*1000), ""), IF(I89*1000 &lt;&gt; 0, CONCATENATE("/",I89*1000), ""))</f>
        <v>2Ду200</v>
      </c>
    </row>
    <row r="90" spans="1:12" x14ac:dyDescent="0.25">
      <c r="A90">
        <v>386949</v>
      </c>
      <c r="B90" t="s">
        <v>22</v>
      </c>
      <c r="C90" t="s">
        <v>21</v>
      </c>
      <c r="D90" t="s">
        <v>17</v>
      </c>
      <c r="E90">
        <v>84</v>
      </c>
      <c r="F90">
        <v>0.125</v>
      </c>
      <c r="G90">
        <v>0.125</v>
      </c>
      <c r="J90">
        <v>125</v>
      </c>
      <c r="K90" t="s">
        <v>18</v>
      </c>
      <c r="L90" t="str">
        <f>CONCATENATE("2Ду",J90,IF(H90*1000 &lt;&gt; 0, CONCATENATE("/",H90*1000), ""), IF(I90*1000 &lt;&gt; 0, CONCATENATE("/",I90*1000), ""))</f>
        <v>2Ду125</v>
      </c>
    </row>
    <row r="91" spans="1:12" x14ac:dyDescent="0.25">
      <c r="A91">
        <v>386951</v>
      </c>
      <c r="B91" t="s">
        <v>22</v>
      </c>
      <c r="C91" t="s">
        <v>21</v>
      </c>
      <c r="D91" t="s">
        <v>17</v>
      </c>
      <c r="E91">
        <v>82.5</v>
      </c>
      <c r="F91">
        <v>0.15</v>
      </c>
      <c r="G91">
        <v>0.15</v>
      </c>
      <c r="J91">
        <v>150</v>
      </c>
      <c r="K91" t="s">
        <v>18</v>
      </c>
      <c r="L91" t="str">
        <f>CONCATENATE("2Ду",J91,IF(H91*1000 &lt;&gt; 0, CONCATENATE("/",H91*1000), ""), IF(I91*1000 &lt;&gt; 0, CONCATENATE("/",I91*1000), ""))</f>
        <v>2Ду150</v>
      </c>
    </row>
    <row r="92" spans="1:12" x14ac:dyDescent="0.25">
      <c r="A92">
        <v>386954</v>
      </c>
      <c r="B92" t="s">
        <v>22</v>
      </c>
      <c r="C92" t="s">
        <v>21</v>
      </c>
      <c r="D92" t="s">
        <v>17</v>
      </c>
      <c r="E92">
        <v>54.5</v>
      </c>
      <c r="F92">
        <v>0.1</v>
      </c>
      <c r="G92">
        <v>0.1</v>
      </c>
      <c r="J92">
        <v>100</v>
      </c>
      <c r="K92" t="s">
        <v>18</v>
      </c>
      <c r="L92" t="str">
        <f>CONCATENATE("2Ду",J92,IF(H92*1000 &lt;&gt; 0, CONCATENATE("/",H92*1000), ""), IF(I92*1000 &lt;&gt; 0, CONCATENATE("/",I92*1000), ""))</f>
        <v>2Ду100</v>
      </c>
    </row>
    <row r="93" spans="1:12" x14ac:dyDescent="0.25">
      <c r="A93">
        <v>386956</v>
      </c>
      <c r="B93" t="s">
        <v>22</v>
      </c>
      <c r="C93" t="s">
        <v>21</v>
      </c>
      <c r="D93" t="s">
        <v>17</v>
      </c>
      <c r="E93">
        <v>37.5</v>
      </c>
      <c r="F93">
        <v>6.5000000000000002E-2</v>
      </c>
      <c r="G93">
        <v>6.5000000000000002E-2</v>
      </c>
      <c r="J93">
        <v>65</v>
      </c>
      <c r="K93" t="s">
        <v>18</v>
      </c>
      <c r="L93" t="str">
        <f>CONCATENATE("2Ду",J93,IF(H93*1000 &lt;&gt; 0, CONCATENATE("/",H93*1000), ""), IF(I93*1000 &lt;&gt; 0, CONCATENATE("/",I93*1000), ""))</f>
        <v>2Ду65</v>
      </c>
    </row>
    <row r="94" spans="1:12" x14ac:dyDescent="0.25">
      <c r="A94">
        <v>386957</v>
      </c>
      <c r="B94" t="s">
        <v>22</v>
      </c>
      <c r="C94" t="s">
        <v>21</v>
      </c>
      <c r="D94" t="s">
        <v>17</v>
      </c>
      <c r="E94">
        <v>71.5</v>
      </c>
      <c r="F94">
        <v>0.125</v>
      </c>
      <c r="G94">
        <v>0.125</v>
      </c>
      <c r="J94">
        <v>125</v>
      </c>
      <c r="K94" t="s">
        <v>18</v>
      </c>
      <c r="L94" t="str">
        <f>CONCATENATE("2Ду",J94,IF(H94*1000 &lt;&gt; 0, CONCATENATE("/",H94*1000), ""), IF(I94*1000 &lt;&gt; 0, CONCATENATE("/",I94*1000), ""))</f>
        <v>2Ду125</v>
      </c>
    </row>
    <row r="95" spans="1:12" x14ac:dyDescent="0.25">
      <c r="A95">
        <v>386958</v>
      </c>
      <c r="B95" t="s">
        <v>22</v>
      </c>
      <c r="C95" t="s">
        <v>21</v>
      </c>
      <c r="D95" t="s">
        <v>17</v>
      </c>
      <c r="E95">
        <v>49.7</v>
      </c>
      <c r="F95">
        <v>0.25900000000000001</v>
      </c>
      <c r="G95">
        <v>0.25900000000000001</v>
      </c>
      <c r="J95">
        <v>250</v>
      </c>
      <c r="K95" t="s">
        <v>18</v>
      </c>
      <c r="L95" t="str">
        <f>CONCATENATE("2Ду",J95,IF(H95*1000 &lt;&gt; 0, CONCATENATE("/",H95*1000), ""), IF(I95*1000 &lt;&gt; 0, CONCATENATE("/",I95*1000), ""))</f>
        <v>2Ду250</v>
      </c>
    </row>
    <row r="96" spans="1:12" x14ac:dyDescent="0.25">
      <c r="A96">
        <v>386959</v>
      </c>
      <c r="B96" t="s">
        <v>22</v>
      </c>
      <c r="C96" t="s">
        <v>21</v>
      </c>
      <c r="D96" t="s">
        <v>17</v>
      </c>
      <c r="E96">
        <v>84.5</v>
      </c>
      <c r="F96">
        <v>0.15</v>
      </c>
      <c r="G96">
        <v>0.15</v>
      </c>
      <c r="J96">
        <v>150</v>
      </c>
      <c r="K96" t="s">
        <v>18</v>
      </c>
      <c r="L96" t="str">
        <f>CONCATENATE("2Ду",J96,IF(H96*1000 &lt;&gt; 0, CONCATENATE("/",H96*1000), ""), IF(I96*1000 &lt;&gt; 0, CONCATENATE("/",I96*1000), ""))</f>
        <v>2Ду150</v>
      </c>
    </row>
    <row r="97" spans="1:12" x14ac:dyDescent="0.25">
      <c r="A97">
        <v>386960</v>
      </c>
      <c r="B97" t="s">
        <v>22</v>
      </c>
      <c r="C97" t="s">
        <v>21</v>
      </c>
      <c r="D97" t="s">
        <v>17</v>
      </c>
      <c r="E97">
        <v>8</v>
      </c>
      <c r="F97">
        <v>0.125</v>
      </c>
      <c r="G97">
        <v>0.125</v>
      </c>
      <c r="J97">
        <v>125</v>
      </c>
      <c r="K97" t="s">
        <v>18</v>
      </c>
      <c r="L97" t="str">
        <f>CONCATENATE("2Ду",J97,IF(H97*1000 &lt;&gt; 0, CONCATENATE("/",H97*1000), ""), IF(I97*1000 &lt;&gt; 0, CONCATENATE("/",I97*1000), ""))</f>
        <v>2Ду125</v>
      </c>
    </row>
    <row r="98" spans="1:12" x14ac:dyDescent="0.25">
      <c r="A98">
        <v>386975</v>
      </c>
      <c r="B98" t="s">
        <v>22</v>
      </c>
      <c r="C98" t="s">
        <v>21</v>
      </c>
      <c r="D98" t="s">
        <v>17</v>
      </c>
      <c r="E98">
        <v>140</v>
      </c>
      <c r="F98">
        <v>8.2000000000000003E-2</v>
      </c>
      <c r="G98">
        <v>8.2000000000000003E-2</v>
      </c>
      <c r="J98">
        <v>80</v>
      </c>
      <c r="K98" t="s">
        <v>18</v>
      </c>
      <c r="L98" t="str">
        <f>CONCATENATE("2Ду",J98,IF(H98*1000 &lt;&gt; 0, CONCATENATE("/",H98*1000), ""), IF(I98*1000 &lt;&gt; 0, CONCATENATE("/",I98*1000), ""))</f>
        <v>2Ду80</v>
      </c>
    </row>
    <row r="99" spans="1:12" x14ac:dyDescent="0.25">
      <c r="A99">
        <v>386962</v>
      </c>
      <c r="B99" t="s">
        <v>22</v>
      </c>
      <c r="C99" t="s">
        <v>21</v>
      </c>
      <c r="D99" t="s">
        <v>17</v>
      </c>
      <c r="E99">
        <v>90.5</v>
      </c>
      <c r="F99">
        <v>0.125</v>
      </c>
      <c r="G99">
        <v>0.125</v>
      </c>
      <c r="J99">
        <v>125</v>
      </c>
      <c r="K99" t="s">
        <v>18</v>
      </c>
      <c r="L99" t="str">
        <f>CONCATENATE("2Ду",J99,IF(H99*1000 &lt;&gt; 0, CONCATENATE("/",H99*1000), ""), IF(I99*1000 &lt;&gt; 0, CONCATENATE("/",I99*1000), ""))</f>
        <v>2Ду125</v>
      </c>
    </row>
    <row r="100" spans="1:12" x14ac:dyDescent="0.25">
      <c r="A100">
        <v>386964</v>
      </c>
      <c r="B100" t="s">
        <v>22</v>
      </c>
      <c r="C100" t="s">
        <v>21</v>
      </c>
      <c r="D100" t="s">
        <v>17</v>
      </c>
      <c r="E100">
        <v>190</v>
      </c>
      <c r="F100">
        <v>0.15</v>
      </c>
      <c r="G100">
        <v>0.15</v>
      </c>
      <c r="J100">
        <v>150</v>
      </c>
      <c r="K100" t="s">
        <v>18</v>
      </c>
      <c r="L100" t="str">
        <f>CONCATENATE("2Ду",J100,IF(H100*1000 &lt;&gt; 0, CONCATENATE("/",H100*1000), ""), IF(I100*1000 &lt;&gt; 0, CONCATENATE("/",I100*1000), ""))</f>
        <v>2Ду150</v>
      </c>
    </row>
    <row r="101" spans="1:12" x14ac:dyDescent="0.25">
      <c r="A101">
        <v>386977</v>
      </c>
      <c r="B101" t="s">
        <v>22</v>
      </c>
      <c r="C101" t="s">
        <v>21</v>
      </c>
      <c r="D101" t="s">
        <v>17</v>
      </c>
      <c r="E101">
        <v>92</v>
      </c>
      <c r="F101">
        <v>6.5000000000000002E-2</v>
      </c>
      <c r="G101">
        <v>6.5000000000000002E-2</v>
      </c>
      <c r="J101">
        <v>65</v>
      </c>
      <c r="K101" t="s">
        <v>18</v>
      </c>
      <c r="L101" t="str">
        <f>CONCATENATE("2Ду",J101,IF(H101*1000 &lt;&gt; 0, CONCATENATE("/",H101*1000), ""), IF(I101*1000 &lt;&gt; 0, CONCATENATE("/",I101*1000), ""))</f>
        <v>2Ду65</v>
      </c>
    </row>
    <row r="102" spans="1:12" x14ac:dyDescent="0.25">
      <c r="A102">
        <v>386979</v>
      </c>
      <c r="B102" t="s">
        <v>22</v>
      </c>
      <c r="C102" t="s">
        <v>21</v>
      </c>
      <c r="D102" t="s">
        <v>17</v>
      </c>
      <c r="E102">
        <v>72</v>
      </c>
      <c r="F102">
        <v>5.0999999999999997E-2</v>
      </c>
      <c r="G102">
        <v>5.0999999999999997E-2</v>
      </c>
      <c r="J102">
        <v>5.0999999999999997E-2</v>
      </c>
      <c r="K102" t="s">
        <v>18</v>
      </c>
      <c r="L102" t="str">
        <f>CONCATENATE("2Ду",J102,IF(H102*1000 &lt;&gt; 0, CONCATENATE("/",H102*1000), ""), IF(I102*1000 &lt;&gt; 0, CONCATENATE("/",I102*1000), ""))</f>
        <v>2Ду0,051</v>
      </c>
    </row>
    <row r="103" spans="1:12" x14ac:dyDescent="0.25">
      <c r="A103">
        <v>386982</v>
      </c>
      <c r="B103" t="s">
        <v>22</v>
      </c>
      <c r="C103" t="s">
        <v>21</v>
      </c>
      <c r="D103" t="s">
        <v>17</v>
      </c>
      <c r="E103">
        <v>7</v>
      </c>
      <c r="F103">
        <v>0.125</v>
      </c>
      <c r="G103">
        <v>0.125</v>
      </c>
      <c r="J103">
        <v>125</v>
      </c>
      <c r="K103" t="s">
        <v>18</v>
      </c>
      <c r="L103" t="str">
        <f>CONCATENATE("2Ду",J103,IF(H103*1000 &lt;&gt; 0, CONCATENATE("/",H103*1000), ""), IF(I103*1000 &lt;&gt; 0, CONCATENATE("/",I103*1000), ""))</f>
        <v>2Ду125</v>
      </c>
    </row>
    <row r="104" spans="1:12" x14ac:dyDescent="0.25">
      <c r="A104">
        <v>386983</v>
      </c>
      <c r="B104" t="s">
        <v>22</v>
      </c>
      <c r="C104" t="s">
        <v>21</v>
      </c>
      <c r="D104" t="s">
        <v>17</v>
      </c>
      <c r="E104">
        <v>7</v>
      </c>
      <c r="F104">
        <v>0.125</v>
      </c>
      <c r="G104">
        <v>0.125</v>
      </c>
      <c r="J104">
        <v>125</v>
      </c>
      <c r="K104" t="s">
        <v>18</v>
      </c>
      <c r="L104" t="str">
        <f>CONCATENATE("2Ду",J104,IF(H104*1000 &lt;&gt; 0, CONCATENATE("/",H104*1000), ""), IF(I104*1000 &lt;&gt; 0, CONCATENATE("/",I104*1000), ""))</f>
        <v>2Ду125</v>
      </c>
    </row>
    <row r="105" spans="1:12" x14ac:dyDescent="0.25">
      <c r="A105">
        <v>389338</v>
      </c>
      <c r="B105" t="s">
        <v>25</v>
      </c>
      <c r="C105" t="s">
        <v>21</v>
      </c>
      <c r="D105" t="s">
        <v>14</v>
      </c>
      <c r="E105">
        <v>49</v>
      </c>
      <c r="F105">
        <v>5.0999999999999997E-2</v>
      </c>
      <c r="G105">
        <v>5.0999999999999997E-2</v>
      </c>
      <c r="H105">
        <v>0.04</v>
      </c>
      <c r="I105">
        <v>3.2000000000000001E-2</v>
      </c>
      <c r="J105">
        <v>50</v>
      </c>
      <c r="K105" t="s">
        <v>18</v>
      </c>
      <c r="L105" t="str">
        <f>CONCATENATE("2Ду",J105,IF(H105*1000 &lt;&gt; 0, CONCATENATE("/",H105*1000), ""), IF(I105*1000 &lt;&gt; 0, CONCATENATE("/",I105*1000), ""))</f>
        <v>2Ду50/40/32</v>
      </c>
    </row>
    <row r="106" spans="1:12" x14ac:dyDescent="0.25">
      <c r="A106">
        <v>389339</v>
      </c>
      <c r="B106" t="s">
        <v>25</v>
      </c>
      <c r="C106" t="s">
        <v>21</v>
      </c>
      <c r="D106" t="s">
        <v>14</v>
      </c>
      <c r="E106">
        <v>10</v>
      </c>
      <c r="F106">
        <v>5.0999999999999997E-2</v>
      </c>
      <c r="G106">
        <v>5.0999999999999997E-2</v>
      </c>
      <c r="H106">
        <v>0.04</v>
      </c>
      <c r="I106">
        <v>3.2000000000000001E-2</v>
      </c>
      <c r="J106">
        <v>50</v>
      </c>
      <c r="K106" t="s">
        <v>18</v>
      </c>
      <c r="L106" t="str">
        <f>CONCATENATE("2Ду",J106,IF(H106*1000 &lt;&gt; 0, CONCATENATE("/",H106*1000), ""), IF(I106*1000 &lt;&gt; 0, CONCATENATE("/",I106*1000), ""))</f>
        <v>2Ду50/40/32</v>
      </c>
    </row>
    <row r="107" spans="1:12" x14ac:dyDescent="0.25">
      <c r="A107">
        <v>389340</v>
      </c>
      <c r="B107" t="s">
        <v>25</v>
      </c>
      <c r="C107" t="s">
        <v>21</v>
      </c>
      <c r="D107" t="s">
        <v>14</v>
      </c>
      <c r="E107">
        <v>15</v>
      </c>
      <c r="F107">
        <v>5.0999999999999997E-2</v>
      </c>
      <c r="G107">
        <v>5.0999999999999997E-2</v>
      </c>
      <c r="H107">
        <v>0.04</v>
      </c>
      <c r="I107">
        <v>3.2000000000000001E-2</v>
      </c>
      <c r="J107">
        <v>50</v>
      </c>
      <c r="K107" t="s">
        <v>18</v>
      </c>
      <c r="L107" t="str">
        <f>CONCATENATE("2Ду",J107,IF(H107*1000 &lt;&gt; 0, CONCATENATE("/",H107*1000), ""), IF(I107*1000 &lt;&gt; 0, CONCATENATE("/",I107*1000), ""))</f>
        <v>2Ду50/40/32</v>
      </c>
    </row>
    <row r="108" spans="1:12" x14ac:dyDescent="0.25">
      <c r="A108">
        <v>389342</v>
      </c>
      <c r="B108" t="s">
        <v>25</v>
      </c>
      <c r="C108" t="s">
        <v>21</v>
      </c>
      <c r="D108" t="s">
        <v>17</v>
      </c>
      <c r="E108">
        <v>136</v>
      </c>
      <c r="F108">
        <v>0.20699999999999999</v>
      </c>
      <c r="G108">
        <v>0.20699999999999999</v>
      </c>
      <c r="J108">
        <v>200</v>
      </c>
      <c r="K108" t="s">
        <v>18</v>
      </c>
      <c r="L108" t="str">
        <f>CONCATENATE("2Ду",J108,IF(H108*1000 &lt;&gt; 0, CONCATENATE("/",H108*1000), ""), IF(I108*1000 &lt;&gt; 0, CONCATENATE("/",I108*1000), ""))</f>
        <v>2Ду200</v>
      </c>
    </row>
    <row r="109" spans="1:12" x14ac:dyDescent="0.25">
      <c r="A109">
        <v>389344</v>
      </c>
      <c r="B109" t="s">
        <v>25</v>
      </c>
      <c r="C109" t="s">
        <v>21</v>
      </c>
      <c r="D109" t="s">
        <v>17</v>
      </c>
      <c r="E109">
        <v>70</v>
      </c>
      <c r="F109">
        <v>0.20699999999999999</v>
      </c>
      <c r="G109">
        <v>0.20699999999999999</v>
      </c>
      <c r="J109">
        <v>200</v>
      </c>
      <c r="K109" t="s">
        <v>18</v>
      </c>
      <c r="L109" t="str">
        <f>CONCATENATE("2Ду",J109,IF(H109*1000 &lt;&gt; 0, CONCATENATE("/",H109*1000), ""), IF(I109*1000 &lt;&gt; 0, CONCATENATE("/",I109*1000), ""))</f>
        <v>2Ду200</v>
      </c>
    </row>
    <row r="110" spans="1:12" x14ac:dyDescent="0.25">
      <c r="A110">
        <v>389348</v>
      </c>
      <c r="B110" t="s">
        <v>25</v>
      </c>
      <c r="C110" t="s">
        <v>21</v>
      </c>
      <c r="D110" t="s">
        <v>17</v>
      </c>
      <c r="E110">
        <v>43.5</v>
      </c>
      <c r="F110">
        <v>0.15</v>
      </c>
      <c r="G110">
        <v>0.15</v>
      </c>
      <c r="J110">
        <v>150</v>
      </c>
      <c r="K110" t="s">
        <v>18</v>
      </c>
      <c r="L110" t="str">
        <f>CONCATENATE("2Ду",J110,IF(H110*1000 &lt;&gt; 0, CONCATENATE("/",H110*1000), ""), IF(I110*1000 &lt;&gt; 0, CONCATENATE("/",I110*1000), ""))</f>
        <v>2Ду150</v>
      </c>
    </row>
    <row r="111" spans="1:12" x14ac:dyDescent="0.25">
      <c r="A111">
        <v>389350</v>
      </c>
      <c r="B111" t="s">
        <v>25</v>
      </c>
      <c r="C111" t="s">
        <v>21</v>
      </c>
      <c r="D111" t="s">
        <v>17</v>
      </c>
      <c r="E111">
        <v>14</v>
      </c>
      <c r="F111">
        <v>6.5000000000000002E-2</v>
      </c>
      <c r="G111">
        <v>6.5000000000000002E-2</v>
      </c>
      <c r="J111">
        <v>65</v>
      </c>
      <c r="K111" t="s">
        <v>18</v>
      </c>
      <c r="L111" t="str">
        <f>CONCATENATE("2Ду",J111,IF(H111*1000 &lt;&gt; 0, CONCATENATE("/",H111*1000), ""), IF(I111*1000 &lt;&gt; 0, CONCATENATE("/",I111*1000), ""))</f>
        <v>2Ду65</v>
      </c>
    </row>
    <row r="112" spans="1:12" x14ac:dyDescent="0.25">
      <c r="A112">
        <v>389352</v>
      </c>
      <c r="B112" t="s">
        <v>25</v>
      </c>
      <c r="C112" t="s">
        <v>21</v>
      </c>
      <c r="D112" t="s">
        <v>17</v>
      </c>
      <c r="E112">
        <v>45</v>
      </c>
      <c r="F112">
        <v>0.125</v>
      </c>
      <c r="G112">
        <v>0.125</v>
      </c>
      <c r="J112">
        <v>125</v>
      </c>
      <c r="K112" t="s">
        <v>18</v>
      </c>
      <c r="L112" t="str">
        <f>CONCATENATE("2Ду",J112,IF(H112*1000 &lt;&gt; 0, CONCATENATE("/",H112*1000), ""), IF(I112*1000 &lt;&gt; 0, CONCATENATE("/",I112*1000), ""))</f>
        <v>2Ду125</v>
      </c>
    </row>
    <row r="113" spans="1:12" x14ac:dyDescent="0.25">
      <c r="A113">
        <v>389354</v>
      </c>
      <c r="B113" t="s">
        <v>25</v>
      </c>
      <c r="C113" t="s">
        <v>21</v>
      </c>
      <c r="D113" t="s">
        <v>17</v>
      </c>
      <c r="E113">
        <v>39</v>
      </c>
      <c r="F113">
        <v>0.15</v>
      </c>
      <c r="G113">
        <v>0.15</v>
      </c>
      <c r="J113">
        <v>150</v>
      </c>
      <c r="K113" t="s">
        <v>18</v>
      </c>
      <c r="L113" t="str">
        <f>CONCATENATE("2Ду",J113,IF(H113*1000 &lt;&gt; 0, CONCATENATE("/",H113*1000), ""), IF(I113*1000 &lt;&gt; 0, CONCATENATE("/",I113*1000), ""))</f>
        <v>2Ду150</v>
      </c>
    </row>
    <row r="114" spans="1:12" x14ac:dyDescent="0.25">
      <c r="A114">
        <v>389358</v>
      </c>
      <c r="B114" t="s">
        <v>25</v>
      </c>
      <c r="C114" t="s">
        <v>21</v>
      </c>
      <c r="D114" t="s">
        <v>17</v>
      </c>
      <c r="E114">
        <v>125</v>
      </c>
      <c r="F114">
        <v>8.2000000000000003E-2</v>
      </c>
      <c r="G114">
        <v>8.2000000000000003E-2</v>
      </c>
      <c r="J114">
        <v>80</v>
      </c>
      <c r="K114" t="s">
        <v>18</v>
      </c>
      <c r="L114" t="str">
        <f>CONCATENATE("2Ду",J114,IF(H114*1000 &lt;&gt; 0, CONCATENATE("/",H114*1000), ""), IF(I114*1000 &lt;&gt; 0, CONCATENATE("/",I114*1000), ""))</f>
        <v>2Ду80</v>
      </c>
    </row>
    <row r="115" spans="1:12" x14ac:dyDescent="0.25">
      <c r="A115">
        <v>389360</v>
      </c>
      <c r="B115" t="s">
        <v>25</v>
      </c>
      <c r="C115" t="s">
        <v>21</v>
      </c>
      <c r="D115" t="s">
        <v>17</v>
      </c>
      <c r="E115">
        <v>58.54</v>
      </c>
      <c r="F115">
        <v>0.20699999999999999</v>
      </c>
      <c r="G115">
        <v>0.20699999999999999</v>
      </c>
      <c r="J115">
        <v>200</v>
      </c>
      <c r="K115" t="s">
        <v>18</v>
      </c>
      <c r="L115" t="str">
        <f>CONCATENATE("2Ду",J115,IF(H115*1000 &lt;&gt; 0, CONCATENATE("/",H115*1000), ""), IF(I115*1000 &lt;&gt; 0, CONCATENATE("/",I115*1000), ""))</f>
        <v>2Ду200</v>
      </c>
    </row>
    <row r="116" spans="1:12" x14ac:dyDescent="0.25">
      <c r="A116">
        <v>389341</v>
      </c>
      <c r="B116" t="s">
        <v>25</v>
      </c>
      <c r="C116" t="s">
        <v>21</v>
      </c>
      <c r="D116" t="s">
        <v>17</v>
      </c>
      <c r="E116">
        <v>76.459999999999994</v>
      </c>
      <c r="F116">
        <v>0.20699999999999999</v>
      </c>
      <c r="G116">
        <v>0.20699999999999999</v>
      </c>
      <c r="J116">
        <v>200</v>
      </c>
      <c r="K116" t="s">
        <v>18</v>
      </c>
      <c r="L116" t="str">
        <f>CONCATENATE("2Ду",J116,IF(H116*1000 &lt;&gt; 0, CONCATENATE("/",H116*1000), ""), IF(I116*1000 &lt;&gt; 0, CONCATENATE("/",I116*1000), ""))</f>
        <v>2Ду200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Обобщенный_потребитель</vt:lpstr>
      <vt:lpstr>Узел</vt:lpstr>
      <vt:lpstr>Участки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Горелик Алексей Викторович</dc:creator>
  <cp:lastModifiedBy>Горелик Алексей Викторович</cp:lastModifiedBy>
  <dcterms:created xsi:type="dcterms:W3CDTF">2024-06-25T09:06:11Z</dcterms:created>
  <dcterms:modified xsi:type="dcterms:W3CDTF">2024-06-25T09:06:21Z</dcterms:modified>
</cp:coreProperties>
</file>